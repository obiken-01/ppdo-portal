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alphFiles\PPDO\ppdo-portal\docs\v1.8\"/>
    </mc:Choice>
  </mc:AlternateContent>
  <xr:revisionPtr revIDLastSave="0" documentId="13_ncr:1_{0F60DB1F-A6A4-48CF-A815-897FDB29287B}" xr6:coauthVersionLast="47" xr6:coauthVersionMax="47" xr10:uidLastSave="{00000000-0000-0000-0000-000000000000}"/>
  <bookViews>
    <workbookView xWindow="-108" yWindow="-108" windowWidth="23256" windowHeight="12456" activeTab="1" xr2:uid="{00000000-000D-0000-FFFF-FFFF00000000}"/>
  </bookViews>
  <sheets>
    <sheet name="Read Me" sheetId="1" r:id="rId1"/>
    <sheet name="Open Items" sheetId="2" r:id="rId2"/>
    <sheet name="Settled" sheetId="3" r:id="rId3"/>
  </sheets>
  <definedNames>
    <definedName name="_xlnm._FilterDatabase" localSheetId="1" hidden="1">'Open Items'!$A$1:$L$35</definedName>
    <definedName name="_xlnm.Print_Titles" localSheetId="1">'Open Items'!$1:$1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1" l="1"/>
  <c r="B34" i="1"/>
  <c r="B33" i="1"/>
  <c r="B32" i="1"/>
  <c r="B31" i="1"/>
</calcChain>
</file>

<file path=xl/sharedStrings.xml><?xml version="1.0" encoding="utf-8"?>
<sst xmlns="http://schemas.openxmlformats.org/spreadsheetml/2006/main" count="406" uniqueCount="245">
  <si>
    <t>v1.8.0 — Open Items for Clarification</t>
  </si>
  <si>
    <t>What this is</t>
  </si>
  <si>
    <t>Every question still blocking or shaping v1.8.0, in one place, with somewhere to write the answer down. Generated 2026-08-25 from docs/v1.8/Monday_Questions.md.</t>
  </si>
  <si>
    <t>Source documents (all on release/1.8.0)</t>
  </si>
  <si>
    <t>Monday_Questions.md — the meeting version, grouped by who can answer</t>
  </si>
  <si>
    <t>AIP_Requirements_Review.md — the technical reasoning behind each item (§ refs in column L)</t>
  </si>
  <si>
    <t>Phase_Plan.md §9 — the same decisions ordered by the phase each one blocks</t>
  </si>
  <si>
    <t>Office_User_Path_Findings.md §6.4 — the office/reviewer questions folded into B4 here</t>
  </si>
  <si>
    <t>How to use it</t>
  </si>
  <si>
    <t>Fill in the SHADED columns only — Answer, Answered by, Date, Status (columns H to K).</t>
  </si>
  <si>
    <t>Everything to the left is the question as recorded; leave it as-is so the two stay comparable.</t>
  </si>
  <si>
    <t>Row 2 of 'Open Items' is a greyed-out EXAMPLE showing the expected format. It is excluded</t>
  </si>
  <si>
    <t>from the counts below, and can be deleted once you no longer need it.</t>
  </si>
  <si>
    <t>Priority</t>
  </si>
  <si>
    <t>Blocker — work on that area cannot start until it is answered. Five of them.</t>
  </si>
  <si>
    <t>High — not blocking today, but blocks a later phase.</t>
  </si>
  <si>
    <t>Confirm — we believe we know the answer; just needs a yes.</t>
  </si>
  <si>
    <t>Status values</t>
  </si>
  <si>
    <t>Open · Answered · Deferred · N/A   (pick from the dropdown in column K)</t>
  </si>
  <si>
    <t>Where the answers go afterwards</t>
  </si>
  <si>
    <t>Anything answered here needs recording in AIP_Requirements_Review.md §10 and Phase_Plan.md §9 —</t>
  </si>
  <si>
    <t>that is the step that was missed after the 2026-08-17 meeting.</t>
  </si>
  <si>
    <t>Progress</t>
  </si>
  <si>
    <t>Total items</t>
  </si>
  <si>
    <t>Still open</t>
  </si>
  <si>
    <t>Answered</t>
  </si>
  <si>
    <t>Deferred</t>
  </si>
  <si>
    <t>Blockers still open</t>
  </si>
  <si>
    <t>Counts read rows 3-100 of 'Open Items', so the example row in row 2 is excluded.</t>
  </si>
  <si>
    <t>ID</t>
  </si>
  <si>
    <t>Group</t>
  </si>
  <si>
    <t>Question</t>
  </si>
  <si>
    <t>Ask</t>
  </si>
  <si>
    <t>What it blocks</t>
  </si>
  <si>
    <t>Our recommendation</t>
  </si>
  <si>
    <t>Answer</t>
  </si>
  <si>
    <t>Answered by</t>
  </si>
  <si>
    <t>Date</t>
  </si>
  <si>
    <t>Status</t>
  </si>
  <si>
    <t>Ref</t>
  </si>
  <si>
    <t>EX</t>
  </si>
  <si>
    <t>— example —</t>
  </si>
  <si>
    <t>This row shows the expected format. Delete it whenever you like — it is excluded from the counts on the Read Me sheet.</t>
  </si>
  <si>
    <t>PBO</t>
  </si>
  <si>
    <t>High</t>
  </si>
  <si>
    <t>Nothing — illustration only</t>
  </si>
  <si>
    <t>What we would suggest, if anything</t>
  </si>
  <si>
    <t>Same pot. Confirmed by PBO in the 2026-08-26 meeting.</t>
  </si>
  <si>
    <t>Engr. Cruz</t>
  </si>
  <si>
    <t>2026-08-26</t>
  </si>
  <si>
    <t>Review §x.x</t>
  </si>
  <si>
    <t>A1</t>
  </si>
  <si>
    <t>A. PBO</t>
  </si>
  <si>
    <t>Does the AIP draw from the same budget ceiling the WFP already uses, or its own separate one?</t>
  </si>
  <si>
    <t>PBO / PPDC</t>
  </si>
  <si>
    <t>Blocker</t>
  </si>
  <si>
    <t>The ledger design (Phase 2-3)</t>
  </si>
  <si>
    <t>Same pot: the allocation limits the AIP, and the WFP is then limited by its AIP activity only. Getting this wrong silently double-counts money, with no error message.</t>
  </si>
  <si>
    <t>Open</t>
  </si>
  <si>
    <t>Review §4.2 — DECISION A</t>
  </si>
  <si>
    <t>A2-1</t>
  </si>
  <si>
    <t>Rounding: the PS / MOOE / CO / Total row will not balance across once each column is rounded up (up to 2 thousand out, on every printed line). How should it be presented?</t>
  </si>
  <si>
    <t>Every printed AIP line</t>
  </si>
  <si>
    <t>Make the row total the sum of the rounded components (101+201+301 = 603, not 601).</t>
  </si>
  <si>
    <t>Review §8.2b ①</t>
  </si>
  <si>
    <t>A2-2</t>
  </si>
  <si>
    <t>Any amount under ₱1,000 prints as 1 (₱500 shows as "1"). Confirming nobody is surprised.</t>
  </si>
  <si>
    <t>Confirm</t>
  </si>
  <si>
    <t>Report display</t>
  </si>
  <si>
    <t>Keep — consistent with the rule never understating a requirement.</t>
  </si>
  <si>
    <t>Review §8.2b ②</t>
  </si>
  <si>
    <t>A2-3</t>
  </si>
  <si>
    <t>Are there ever negative amounts — e.g. an amendment or supplemental budget where a realignment reduces a line?</t>
  </si>
  <si>
    <t>The rounding rule</t>
  </si>
  <si>
    <t>If yes, "round up" must mean round the SIZE up (−1,234,200 → −1,235), not literally upward, which would shrink the deduction.</t>
  </si>
  <si>
    <t>Review §8.2b ③</t>
  </si>
  <si>
    <t>A2-4</t>
  </si>
  <si>
    <t>Is the ceiling checked against the rounded figures or the exact ones? They can disagree — ₱49,999,600 exact is inside a ₱50M ceiling, but the printed AIP could read ₱50,020,000.</t>
  </si>
  <si>
    <t>Ceiling validation</t>
  </si>
  <si>
    <t>Enforce on the same rounded figures the document prints, so the system and the paper can never disagree.</t>
  </si>
  <si>
    <t>Review §8.2b ④</t>
  </si>
  <si>
    <t>A2-5</t>
  </si>
  <si>
    <t>In the Excel export, do the cells hold the rounded thousands or the exact pesos?</t>
  </si>
  <si>
    <t>Excel export</t>
  </si>
  <si>
    <t>Rounded thousands, as real numbers — so re-summing a column in Excel gives exactly the printed total.</t>
  </si>
  <si>
    <t>Review §8.2b ⑤</t>
  </si>
  <si>
    <t>A3</t>
  </si>
  <si>
    <t>Must the printed rows add up exactly to the printed total? Because everything rounds up, the gap is one-directional: ~25 thousand over 50 rows, ~250 thousand over 500.</t>
  </si>
  <si>
    <t>Every report in Phase 5</t>
  </si>
  <si>
    <t>Round each row first, then add the rounded rows for every subtotal and total. Exact centavos stay in the database.</t>
  </si>
  <si>
    <t>Review §8.3 — DECISION 9</t>
  </si>
  <si>
    <t>A4</t>
  </si>
  <si>
    <t>Should going over the ceiling BLOCK saving or only WARN — and at the moment the user types it, or only when they submit the whole AIP?</t>
  </si>
  <si>
    <t>Phase 3 entry + Phase 6 offline</t>
  </si>
  <si>
    <t>Block at submit: friendlier for a document built over weeks, and close to necessary if people work offline.</t>
  </si>
  <si>
    <t>Review §4.4 — DECISION C</t>
  </si>
  <si>
    <t>A5</t>
  </si>
  <si>
    <t>Must the division allocations add up to the office's ceiling, or can they be less? And what happens if PBO lowers an office's ceiling AFTER it has allocated and encoded against it?</t>
  </si>
  <si>
    <t>The Allocation page</t>
  </si>
  <si>
    <t>Review §4.4 — DECISION D</t>
  </si>
  <si>
    <t>A6-1</t>
  </si>
  <si>
    <t>Confirm: only the General Fund has a ceiling. GAD, 20% DF, LDRRF and Trust Fund have none.</t>
  </si>
  <si>
    <t>The ceiling rule</t>
  </si>
  <si>
    <t>Understood as correct — verifying.</t>
  </si>
  <si>
    <t>Review §0.1</t>
  </si>
  <si>
    <t>A6-2</t>
  </si>
  <si>
    <t>Confirm: Personal Services is excluded from the ceiling even when it is General Fund — so a part-PS, part-MOOE expense only counts its MOOE part.</t>
  </si>
  <si>
    <t>A6-3</t>
  </si>
  <si>
    <t>Confirm: amounts are entered in full pesos (1,234,567.89) and only DISPLAYED in thousands.</t>
  </si>
  <si>
    <t>Storage units</t>
  </si>
  <si>
    <t>Understood as correct — verifying. See also D2.</t>
  </si>
  <si>
    <t>Review §8.0</t>
  </si>
  <si>
    <t>B1</t>
  </si>
  <si>
    <t>B. PPDC</t>
  </si>
  <si>
    <t>Can a reviewer send work back for correction, and can they leave comments? If comments — on the whole submission, or on a specific program / project / activity / expense line?</t>
  </si>
  <si>
    <t>PPDC</t>
  </si>
  <si>
    <t>All of Phase 4</t>
  </si>
  <si>
    <t>Worth deciding deliberately rather than by default: per-item comments are far more useful to the encoder, and a fair bit more work to build.</t>
  </si>
  <si>
    <t>Review §5.3 — DECISION 10</t>
  </si>
  <si>
    <t>B2</t>
  </si>
  <si>
    <t>Can an office add a program that is not in the LDIP — themselves, with approval, or is the LDIP a closed list?</t>
  </si>
  <si>
    <t>Phase 3 entry UI</t>
  </si>
  <si>
    <t>Review §5.5 — DECISION 5</t>
  </si>
  <si>
    <t>B3</t>
  </si>
  <si>
    <t>Once submitted, is the work locked — to the encoder only, or to everyone including the reviewer? Can the reviewer edit figures? On re-submit, does the reviewer see what changed?</t>
  </si>
  <si>
    <t>Phase 4 workflow</t>
  </si>
  <si>
    <t>Whiteboard W4 / Review §5.3</t>
  </si>
  <si>
    <t>B4</t>
  </si>
  <si>
    <t>Is PPDO's own internal review a real approval gate — PPDO's divisions cannot reach the consolidated document without it — or just a view?</t>
  </si>
  <si>
    <t>Findings §6.4</t>
  </si>
  <si>
    <t>B4-a</t>
  </si>
  <si>
    <t>What is "the consolidated work" concretely — a NEW provincial record assembled from submissions, or the existing multi-office record with offices filled in as they submit?</t>
  </si>
  <si>
    <t>Phase 4 data model</t>
  </si>
  <si>
    <t>B4-b</t>
  </si>
  <si>
    <t>Can PPDO consolidate partially, before every office has submitted?</t>
  </si>
  <si>
    <t>B4-c</t>
  </si>
  <si>
    <t>One reviewer per office, or several?</t>
  </si>
  <si>
    <t>The permission model</t>
  </si>
  <si>
    <t>The per-user flag supports several. If exactly one is required, that constraint has to be built deliberately.</t>
  </si>
  <si>
    <t>B5</t>
  </si>
  <si>
    <t>When the LFC reviews, can they return ONE office's work, or only approve/return the consolidated document as a whole? If one office — does that office's reviewer submit again?</t>
  </si>
  <si>
    <t>Review §5.3</t>
  </si>
  <si>
    <t>B6</t>
  </si>
  <si>
    <t>Who are the LFC users — names, or at least a count? Note this is the first permission in the system that spans ALL offices; everyone else only ever sees their own.</t>
  </si>
  <si>
    <t>Permission model (RAL-257)</t>
  </si>
  <si>
    <t>Worth confirming the cross-office visibility is intended: LFC users see every office's budget figures.</t>
  </si>
  <si>
    <t>Review §5.4</t>
  </si>
  <si>
    <t>B7</t>
  </si>
  <si>
    <t>Is there a submission deadline per fiscal year, after which offices can no longer submit — and a page showing which offices have submitted and which have not?</t>
  </si>
  <si>
    <t>Phase 4 / §9.2</t>
  </si>
  <si>
    <t>Recommended: it is the only way to chase ~20 offices without doing it by hand.</t>
  </si>
  <si>
    <t>Review §9.2</t>
  </si>
  <si>
    <t>B8</t>
  </si>
  <si>
    <t>On the whiteboard, what was the "₱5M" next to Program/Project — a threshold, a ceiling, or just an example figure?</t>
  </si>
  <si>
    <t>Entry rules</t>
  </si>
  <si>
    <t>Whiteboard W9</t>
  </si>
  <si>
    <t>C1</t>
  </si>
  <si>
    <t>C. Data users</t>
  </si>
  <si>
    <t>What do you need out of the AIP, and in what form — which columns, Excel / CSV / a direct connection, and how often (once when approved, or refreshed continuously)?</t>
  </si>
  <si>
    <t>PBO, PACCO, PTO, GSO</t>
  </si>
  <si>
    <t>Phase 5 outputs</t>
  </si>
  <si>
    <t>Ask for a FILLED-IN copy of whatever they use today, not a description. On the WFP export the "template" we were given turned out to be a filled sample, and the difference cost real time.</t>
  </si>
  <si>
    <t>Review §7</t>
  </si>
  <si>
    <t>C2</t>
  </si>
  <si>
    <t>GSO specifically: is the read-only AIP API already designed for you a better fit than a file export? A live connection never goes stale.</t>
  </si>
  <si>
    <t>GSO</t>
  </si>
  <si>
    <t>Ask before building a file export — docs/External_AIP_API_Contract.md is already written and sitting in the backlog.</t>
  </si>
  <si>
    <t>D1</t>
  </si>
  <si>
    <t>D. Ralph</t>
  </si>
  <si>
    <t>Does PPDO become a real office row with an IsPpdo flag, or stay identified by OfficeId == null? Today it is BOTH that and a hardcoded "PPDO" office code — two mechanisms for one idea.</t>
  </si>
  <si>
    <t>Ralph</t>
  </si>
  <si>
    <t>Every scope check + AIP ownership — must land BEFORE Phase 2</t>
  </si>
  <si>
    <t>Cheap to change now, a data migration through every permission check afterwards. No other open question has that shape.</t>
  </si>
  <si>
    <t>Phase_Plan §3.1 — DECISION F</t>
  </si>
  <si>
    <t>D2</t>
  </si>
  <si>
    <t>Confirm the storage unit: FY≤2027 amounts stay in thousands and FY2028+ in full pesos, side by side in the same column, told apart by fiscal year?</t>
  </si>
  <si>
    <t>WfpCeilingService's three × 1000 conversions</t>
  </si>
  <si>
    <t>The clean break implies this but never said it for UNITS. Under a partition those three conversions must become conditional on fiscal year — NOT deleted. Wrong either way, WFP budget checks silently stop validating.</t>
  </si>
  <si>
    <t>Review §8.0 — DECISION E</t>
  </si>
  <si>
    <t>D3</t>
  </si>
  <si>
    <t>Is the printable AIP the same official form layout the .xlsm upload already reads (GENERAL / SOCIAL / ECONOMIC / OTHERS sheets)?</t>
  </si>
  <si>
    <t>Phase 5 printable form</t>
  </si>
  <si>
    <t>If yes, the printable version can be built from the importer's structure rather than reverse-engineered.</t>
  </si>
  <si>
    <t>Review §9.1</t>
  </si>
  <si>
    <t>D4</t>
  </si>
  <si>
    <t>Offline entry: office-issued machines, or personal / shared laptops?</t>
  </si>
  <si>
    <t>Phase 6 session persistence</t>
  </si>
  <si>
    <t>Decides how much of the login session we keep on the device. On a shared laptop, staying signed in means anyone who opens the browser is that user.</t>
  </si>
  <si>
    <t>Review §6.2 — DECISION 7</t>
  </si>
  <si>
    <t>D5</t>
  </si>
  <si>
    <t>One encoder per office, or could two people encode the same office's AIP at the same time?</t>
  </si>
  <si>
    <t>Concurrency guard</t>
  </si>
  <si>
    <t>If two, we need a rule for editing the same activity — today the last save silently wins.</t>
  </si>
  <si>
    <t>Review §9.8</t>
  </si>
  <si>
    <t>D6</t>
  </si>
  <si>
    <t>Does Phase 1 ship a real Budget Planning dashboard for office users, or keep the readiness hub until the redesign?</t>
  </si>
  <si>
    <t>RAL-255 — the only Phase 1 ticket still in Backlog</t>
  </si>
  <si>
    <t>Phase_Plan §3.5</t>
  </si>
  <si>
    <t>D7</t>
  </si>
  <si>
    <t>Split v1.8.0 into v1.8.0 (Phase 1) / v1.9.0 (AIP redesign) / v1.10.0 (offline)?</t>
  </si>
  <si>
    <t>Release cadence</t>
  </si>
  <si>
    <t>Recommended: 73 work items and six open decisions in one milestone. The split is about cadence, not about unblocking office accounts — those wait for Phase 2 either way.</t>
  </si>
  <si>
    <t>Phase_Plan §10</t>
  </si>
  <si>
    <t>D8</t>
  </si>
  <si>
    <t>The SuperAdmin seed password (PPDOAdmin2026!) is still written in CLAUDE.md and live in production. Create a ticket for it?</t>
  </si>
  <si>
    <t>Security</t>
  </si>
  <si>
    <t>Same class as RAL-254, which was just fixed, but it was outside that ticket's scope.</t>
  </si>
  <si>
    <t>Review §2.2</t>
  </si>
  <si>
    <t>Decision</t>
  </si>
  <si>
    <t>Decided by</t>
  </si>
  <si>
    <t>Recorded in</t>
  </si>
  <si>
    <t>Multiple fund sources</t>
  </si>
  <si>
    <t>One fund source PER EXPENSE LINE; an activity with several funds simply has several lines.</t>
  </si>
  <si>
    <t>2026-08-14</t>
  </si>
  <si>
    <t>Rounding to thousands</t>
  </si>
  <si>
    <t>Always round UP on any remainder above zero — 1,234,200 → 1,235. Zero stays zero.</t>
  </si>
  <si>
    <t>Review §8.2</t>
  </si>
  <si>
    <t>Which funds have a ceiling</t>
  </si>
  <si>
    <t>General Fund only. GAD, 20% DF, LDRRF and Trust Fund have none.</t>
  </si>
  <si>
    <t>"Limit Dept Head, except GAD / 20% DF / PS / LDRRF / Trust Fund"</t>
  </si>
  <si>
    <t>This is the ceiling-exemption list, NOT a permissions rule.</t>
  </si>
  <si>
    <t>Review §5.6</t>
  </si>
  <si>
    <t>Printable AIP form</t>
  </si>
  <si>
    <t>In scope, matching the official form already in use.</t>
  </si>
  <si>
    <t>Password reset</t>
  </si>
  <si>
    <t>Option B — self-service via a user-set recovery answer, random temporary password, no admin involvement.</t>
  </si>
  <si>
    <t>Review §2.6</t>
  </si>
  <si>
    <t>Redesign the AIP, or retrofit office isolation?</t>
  </si>
  <si>
    <t>Redesign. No office-user account exists in production, so there is no real office data on the current shape to disrupt.</t>
  </si>
  <si>
    <t>2026-08-17</t>
  </si>
  <si>
    <t>AIP_Redesign_Notes §1</t>
  </si>
  <si>
    <t>The 2027 AIP and the .xlsm upload</t>
  </si>
  <si>
    <t>Clean break by fiscal year. FY≤2027 keeps today's format and the upload permanently; the new format starts FY2028. No conversion, and FY2027 is not re-imported.</t>
  </si>
  <si>
    <t>AIP_Redesign_Notes §4a / §4b</t>
  </si>
  <si>
    <t>"User Profile" as a landing page</t>
  </si>
  <si>
    <t>Resolves to /account. The /profile stub is removed and redirects there.</t>
  </si>
  <si>
    <t>2026-08-20</t>
  </si>
  <si>
    <t>Phase_Plan §11</t>
  </si>
  <si>
    <t>Recorded here so nobody re-opens them by accident. If one of these is reversed, it needs changing in the source documents too — not only here.</t>
  </si>
  <si>
    <t>Proceed with the IsPpdo flag introduction</t>
  </si>
  <si>
    <t>Yes</t>
  </si>
  <si>
    <t>It Could be 2 or more</t>
  </si>
  <si>
    <t>Probably 1 user per machine</t>
  </si>
  <si>
    <t>No, just 1.8.0
if needed (due to bug or additional or moved requirement) lets proceed with 1.8.1, 1.8.2, etc.</t>
  </si>
  <si>
    <t>Yes, as reminder to change password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</si>
</sst>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1" x14ac:knownFonts="1">
    <font>
      <sz val="11"/>
      <color theme="1"/>
      <name val="Calibri"/>
      <family val="2"/>
      <scheme val="minor"/>
    </font>
    <font>
      <b/>
      <sz val="16"/>
      <color rgb="FF1F3864"/>
      <name val="Arial"/>
    </font>
    <font>
      <b/>
      <sz val="11"/>
      <color rgb="FF1F3864"/>
      <name val="Arial"/>
    </font>
    <font>
      <sz val="10"/>
      <name val="Arial"/>
    </font>
    <font>
      <b/>
      <sz val="10"/>
      <name val="Arial"/>
    </font>
    <font>
      <i/>
      <sz val="9"/>
      <color rgb="FF808080"/>
      <name val="Arial"/>
    </font>
    <font>
      <b/>
      <sz val="10"/>
      <color rgb="FFFFFFFF"/>
      <name val="Arial"/>
    </font>
    <font>
      <b/>
      <sz val="14"/>
      <color rgb="FFFFFFFF"/>
      <name val="Arial"/>
      <family val="2"/>
    </font>
    <font>
      <i/>
      <sz val="14"/>
      <color rgb="FF808080"/>
      <name val="Arial"/>
      <family val="2"/>
    </font>
    <font>
      <b/>
      <sz val="14"/>
      <name val="Arial"/>
      <family val="2"/>
    </font>
    <font>
      <sz val="14"/>
      <name val="Arial"/>
      <family val="2"/>
    </font>
  </fonts>
  <fills count="9">
    <fill>
      <patternFill patternType="none"/>
    </fill>
    <fill>
      <patternFill patternType="gray125"/>
    </fill>
    <fill>
      <patternFill patternType="solid">
        <fgColor rgb="FF1F3864"/>
      </patternFill>
    </fill>
    <fill>
      <patternFill patternType="solid">
        <fgColor rgb="FFF2F2F2"/>
      </patternFill>
    </fill>
    <fill>
      <patternFill patternType="solid">
        <fgColor rgb="FFFFF2CC"/>
      </patternFill>
    </fill>
    <fill>
      <patternFill patternType="solid">
        <fgColor rgb="FFD9E1F2"/>
      </patternFill>
    </fill>
    <fill>
      <patternFill patternType="solid">
        <fgColor rgb="FFF8CBAD"/>
      </patternFill>
    </fill>
    <fill>
      <patternFill patternType="solid">
        <fgColor rgb="FFFFE699"/>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0" fontId="4" fillId="0" borderId="0" xfId="0" applyFont="1" applyAlignment="1">
      <alignment horizontal="center"/>
    </xf>
    <xf numFmtId="0" fontId="5" fillId="0" borderId="0" xfId="0" applyFont="1"/>
    <xf numFmtId="0" fontId="6" fillId="2" borderId="1" xfId="0" applyFont="1" applyFill="1" applyBorder="1" applyAlignment="1">
      <alignment horizontal="center" vertical="center" wrapText="1"/>
    </xf>
    <xf numFmtId="0" fontId="3" fillId="0" borderId="1" xfId="0" applyFont="1" applyBorder="1" applyAlignment="1">
      <alignment vertical="top" wrapText="1"/>
    </xf>
    <xf numFmtId="0" fontId="7" fillId="2" borderId="1" xfId="0" applyFont="1" applyFill="1" applyBorder="1" applyAlignment="1">
      <alignment horizontal="center" vertical="center" wrapText="1"/>
    </xf>
    <xf numFmtId="0" fontId="8" fillId="3" borderId="1" xfId="0" applyFont="1" applyFill="1" applyBorder="1" applyAlignment="1">
      <alignment vertical="top" wrapText="1"/>
    </xf>
    <xf numFmtId="0" fontId="9" fillId="0" borderId="1" xfId="0" applyFont="1" applyBorder="1" applyAlignment="1">
      <alignment vertical="top" wrapText="1"/>
    </xf>
    <xf numFmtId="0" fontId="10" fillId="5" borderId="1" xfId="0" applyFont="1" applyFill="1" applyBorder="1" applyAlignment="1">
      <alignment vertical="top" wrapText="1"/>
    </xf>
    <xf numFmtId="0" fontId="10" fillId="0" borderId="1" xfId="0" applyFont="1" applyBorder="1" applyAlignment="1">
      <alignment vertical="top" wrapText="1"/>
    </xf>
    <xf numFmtId="0" fontId="9" fillId="6" borderId="1" xfId="0" applyFont="1" applyFill="1" applyBorder="1" applyAlignment="1">
      <alignment horizontal="center" vertical="top" wrapText="1"/>
    </xf>
    <xf numFmtId="0" fontId="10" fillId="4" borderId="1" xfId="0" applyFont="1" applyFill="1" applyBorder="1" applyAlignment="1">
      <alignment vertical="top" wrapText="1"/>
    </xf>
    <xf numFmtId="164" fontId="10" fillId="4" borderId="1" xfId="0" applyNumberFormat="1" applyFont="1" applyFill="1" applyBorder="1" applyAlignment="1">
      <alignment vertical="top" wrapText="1"/>
    </xf>
    <xf numFmtId="0" fontId="10" fillId="8" borderId="1" xfId="0" applyFont="1" applyFill="1" applyBorder="1" applyAlignment="1">
      <alignment horizontal="center" vertical="top" wrapText="1"/>
    </xf>
    <xf numFmtId="0" fontId="10" fillId="7" borderId="1" xfId="0" applyFont="1" applyFill="1" applyBorder="1" applyAlignment="1">
      <alignment horizontal="center"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6"/>
  <sheetViews>
    <sheetView showGridLines="0" topLeftCell="A9" workbookViewId="0">
      <selection activeCell="C7" sqref="C7"/>
    </sheetView>
  </sheetViews>
  <sheetFormatPr defaultRowHeight="14.4" x14ac:dyDescent="0.3"/>
  <cols>
    <col min="1" max="1" width="100" customWidth="1"/>
    <col min="2" max="2" width="10" customWidth="1"/>
  </cols>
  <sheetData>
    <row r="1" spans="1:1" ht="21" x14ac:dyDescent="0.4">
      <c r="A1" s="1" t="s">
        <v>0</v>
      </c>
    </row>
    <row r="3" spans="1:1" x14ac:dyDescent="0.3">
      <c r="A3" s="2" t="s">
        <v>1</v>
      </c>
    </row>
    <row r="4" spans="1:1" x14ac:dyDescent="0.3">
      <c r="A4" s="3" t="s">
        <v>2</v>
      </c>
    </row>
    <row r="6" spans="1:1" x14ac:dyDescent="0.3">
      <c r="A6" s="2" t="s">
        <v>3</v>
      </c>
    </row>
    <row r="7" spans="1:1" x14ac:dyDescent="0.3">
      <c r="A7" s="3" t="s">
        <v>4</v>
      </c>
    </row>
    <row r="8" spans="1:1" x14ac:dyDescent="0.3">
      <c r="A8" s="3" t="s">
        <v>5</v>
      </c>
    </row>
    <row r="9" spans="1:1" x14ac:dyDescent="0.3">
      <c r="A9" s="3" t="s">
        <v>6</v>
      </c>
    </row>
    <row r="10" spans="1:1" x14ac:dyDescent="0.3">
      <c r="A10" s="3" t="s">
        <v>7</v>
      </c>
    </row>
    <row r="12" spans="1:1" x14ac:dyDescent="0.3">
      <c r="A12" s="2" t="s">
        <v>8</v>
      </c>
    </row>
    <row r="13" spans="1:1" x14ac:dyDescent="0.3">
      <c r="A13" s="3" t="s">
        <v>9</v>
      </c>
    </row>
    <row r="14" spans="1:1" x14ac:dyDescent="0.3">
      <c r="A14" s="3" t="s">
        <v>10</v>
      </c>
    </row>
    <row r="15" spans="1:1" x14ac:dyDescent="0.3">
      <c r="A15" s="3" t="s">
        <v>11</v>
      </c>
    </row>
    <row r="16" spans="1:1" x14ac:dyDescent="0.3">
      <c r="A16" s="3" t="s">
        <v>12</v>
      </c>
    </row>
    <row r="18" spans="1:2" x14ac:dyDescent="0.3">
      <c r="A18" s="2" t="s">
        <v>13</v>
      </c>
    </row>
    <row r="19" spans="1:2" x14ac:dyDescent="0.3">
      <c r="A19" s="3" t="s">
        <v>14</v>
      </c>
    </row>
    <row r="20" spans="1:2" x14ac:dyDescent="0.3">
      <c r="A20" s="3" t="s">
        <v>15</v>
      </c>
    </row>
    <row r="21" spans="1:2" x14ac:dyDescent="0.3">
      <c r="A21" s="3" t="s">
        <v>16</v>
      </c>
    </row>
    <row r="23" spans="1:2" x14ac:dyDescent="0.3">
      <c r="A23" s="2" t="s">
        <v>17</v>
      </c>
    </row>
    <row r="24" spans="1:2" x14ac:dyDescent="0.3">
      <c r="A24" s="3" t="s">
        <v>18</v>
      </c>
    </row>
    <row r="26" spans="1:2" x14ac:dyDescent="0.3">
      <c r="A26" s="2" t="s">
        <v>19</v>
      </c>
    </row>
    <row r="27" spans="1:2" x14ac:dyDescent="0.3">
      <c r="A27" s="3" t="s">
        <v>20</v>
      </c>
    </row>
    <row r="28" spans="1:2" x14ac:dyDescent="0.3">
      <c r="A28" s="3" t="s">
        <v>21</v>
      </c>
    </row>
    <row r="30" spans="1:2" x14ac:dyDescent="0.3">
      <c r="A30" s="2" t="s">
        <v>22</v>
      </c>
    </row>
    <row r="31" spans="1:2" x14ac:dyDescent="0.3">
      <c r="A31" s="3" t="s">
        <v>23</v>
      </c>
      <c r="B31" s="4">
        <f>COUNTA('Open Items'!A3:A100)</f>
        <v>33</v>
      </c>
    </row>
    <row r="32" spans="1:2" x14ac:dyDescent="0.3">
      <c r="A32" s="3" t="s">
        <v>24</v>
      </c>
      <c r="B32" s="4">
        <f>COUNTIF('Open Items'!K3:K100,"Open")</f>
        <v>33</v>
      </c>
    </row>
    <row r="33" spans="1:2" x14ac:dyDescent="0.3">
      <c r="A33" s="3" t="s">
        <v>25</v>
      </c>
      <c r="B33" s="4">
        <f>COUNTIF('Open Items'!K3:K100,"Answered")</f>
        <v>0</v>
      </c>
    </row>
    <row r="34" spans="1:2" x14ac:dyDescent="0.3">
      <c r="A34" s="3" t="s">
        <v>26</v>
      </c>
      <c r="B34" s="4">
        <f>COUNTIF('Open Items'!K3:K100,"Deferred")</f>
        <v>0</v>
      </c>
    </row>
    <row r="35" spans="1:2" x14ac:dyDescent="0.3">
      <c r="A35" s="3" t="s">
        <v>27</v>
      </c>
      <c r="B35" s="5">
        <f>COUNTIFS('Open Items'!E3:E100,"Blocker",'Open Items'!K3:K100,"Open")</f>
        <v>5</v>
      </c>
    </row>
    <row r="36" spans="1:2" x14ac:dyDescent="0.3">
      <c r="A36" s="6"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pageSetUpPr fitToPage="1"/>
  </sheetPr>
  <dimension ref="A1:L35"/>
  <sheetViews>
    <sheetView tabSelected="1" view="pageBreakPreview" zoomScale="60" zoomScaleNormal="100" workbookViewId="0">
      <pane xSplit="2" ySplit="1" topLeftCell="C7" activePane="bottomRight" state="frozen"/>
      <selection pane="topRight"/>
      <selection pane="bottomLeft"/>
      <selection pane="bottomRight" activeCell="H35" sqref="H35"/>
    </sheetView>
  </sheetViews>
  <sheetFormatPr defaultRowHeight="14.4" x14ac:dyDescent="0.3"/>
  <cols>
    <col min="1" max="1" width="7" customWidth="1"/>
    <col min="2" max="2" width="13" customWidth="1"/>
    <col min="3" max="3" width="62" customWidth="1"/>
    <col min="4" max="4" width="12.88671875" bestFit="1" customWidth="1"/>
    <col min="5" max="5" width="17.88671875" bestFit="1" customWidth="1"/>
    <col min="6" max="6" width="26" hidden="1" customWidth="1"/>
    <col min="7" max="7" width="46" customWidth="1"/>
    <col min="8" max="8" width="34" customWidth="1"/>
    <col min="9" max="9" width="14" customWidth="1"/>
    <col min="10" max="10" width="15.109375" bestFit="1" customWidth="1"/>
    <col min="11" max="11" width="11" customWidth="1"/>
    <col min="12" max="12" width="22" hidden="1" customWidth="1"/>
  </cols>
  <sheetData>
    <row r="1" spans="1:12" ht="30" customHeight="1" x14ac:dyDescent="0.3">
      <c r="A1" s="9" t="s">
        <v>29</v>
      </c>
      <c r="B1" s="9" t="s">
        <v>30</v>
      </c>
      <c r="C1" s="9" t="s">
        <v>31</v>
      </c>
      <c r="D1" s="9" t="s">
        <v>32</v>
      </c>
      <c r="E1" s="9" t="s">
        <v>13</v>
      </c>
      <c r="F1" s="9" t="s">
        <v>33</v>
      </c>
      <c r="G1" s="9" t="s">
        <v>34</v>
      </c>
      <c r="H1" s="9" t="s">
        <v>35</v>
      </c>
      <c r="I1" s="9" t="s">
        <v>36</v>
      </c>
      <c r="J1" s="9" t="s">
        <v>37</v>
      </c>
      <c r="K1" s="9" t="s">
        <v>38</v>
      </c>
      <c r="L1" s="9" t="s">
        <v>39</v>
      </c>
    </row>
    <row r="2" spans="1:12" ht="54" hidden="1" x14ac:dyDescent="0.3">
      <c r="A2" s="10" t="s">
        <v>40</v>
      </c>
      <c r="B2" s="10" t="s">
        <v>41</v>
      </c>
      <c r="C2" s="10" t="s">
        <v>42</v>
      </c>
      <c r="D2" s="10" t="s">
        <v>43</v>
      </c>
      <c r="E2" s="10" t="s">
        <v>44</v>
      </c>
      <c r="F2" s="10" t="s">
        <v>45</v>
      </c>
      <c r="G2" s="10" t="s">
        <v>46</v>
      </c>
      <c r="H2" s="10" t="s">
        <v>47</v>
      </c>
      <c r="I2" s="10" t="s">
        <v>48</v>
      </c>
      <c r="J2" s="10" t="s">
        <v>49</v>
      </c>
      <c r="K2" s="10" t="s">
        <v>25</v>
      </c>
      <c r="L2" s="10" t="s">
        <v>50</v>
      </c>
    </row>
    <row r="3" spans="1:12" ht="87" hidden="1" x14ac:dyDescent="0.3">
      <c r="A3" s="11" t="s">
        <v>51</v>
      </c>
      <c r="B3" s="12" t="s">
        <v>52</v>
      </c>
      <c r="C3" s="13" t="s">
        <v>53</v>
      </c>
      <c r="D3" s="13" t="s">
        <v>54</v>
      </c>
      <c r="E3" s="14" t="s">
        <v>55</v>
      </c>
      <c r="F3" s="13" t="s">
        <v>56</v>
      </c>
      <c r="G3" s="13" t="s">
        <v>57</v>
      </c>
      <c r="H3" s="15"/>
      <c r="I3" s="15"/>
      <c r="J3" s="16"/>
      <c r="K3" s="15" t="s">
        <v>58</v>
      </c>
      <c r="L3" s="13" t="s">
        <v>59</v>
      </c>
    </row>
    <row r="4" spans="1:12" ht="69.599999999999994" hidden="1" x14ac:dyDescent="0.3">
      <c r="A4" s="11" t="s">
        <v>86</v>
      </c>
      <c r="B4" s="12" t="s">
        <v>52</v>
      </c>
      <c r="C4" s="13" t="s">
        <v>87</v>
      </c>
      <c r="D4" s="13" t="s">
        <v>43</v>
      </c>
      <c r="E4" s="14" t="s">
        <v>55</v>
      </c>
      <c r="F4" s="13" t="s">
        <v>88</v>
      </c>
      <c r="G4" s="13" t="s">
        <v>89</v>
      </c>
      <c r="H4" s="15"/>
      <c r="I4" s="15"/>
      <c r="J4" s="16"/>
      <c r="K4" s="15" t="s">
        <v>58</v>
      </c>
      <c r="L4" s="13" t="s">
        <v>90</v>
      </c>
    </row>
    <row r="5" spans="1:12" ht="69.599999999999994" hidden="1" x14ac:dyDescent="0.3">
      <c r="A5" s="11" t="s">
        <v>112</v>
      </c>
      <c r="B5" s="12" t="s">
        <v>113</v>
      </c>
      <c r="C5" s="13" t="s">
        <v>114</v>
      </c>
      <c r="D5" s="13" t="s">
        <v>115</v>
      </c>
      <c r="E5" s="14" t="s">
        <v>55</v>
      </c>
      <c r="F5" s="13" t="s">
        <v>116</v>
      </c>
      <c r="G5" s="13" t="s">
        <v>117</v>
      </c>
      <c r="H5" s="15"/>
      <c r="I5" s="15"/>
      <c r="J5" s="16"/>
      <c r="K5" s="15" t="s">
        <v>58</v>
      </c>
      <c r="L5" s="13" t="s">
        <v>118</v>
      </c>
    </row>
    <row r="6" spans="1:12" ht="52.2" hidden="1" x14ac:dyDescent="0.3">
      <c r="A6" s="11" t="s">
        <v>119</v>
      </c>
      <c r="B6" s="12" t="s">
        <v>113</v>
      </c>
      <c r="C6" s="13" t="s">
        <v>120</v>
      </c>
      <c r="D6" s="13" t="s">
        <v>115</v>
      </c>
      <c r="E6" s="14" t="s">
        <v>55</v>
      </c>
      <c r="F6" s="13" t="s">
        <v>121</v>
      </c>
      <c r="G6" s="13"/>
      <c r="H6" s="15"/>
      <c r="I6" s="15"/>
      <c r="J6" s="16"/>
      <c r="K6" s="15" t="s">
        <v>58</v>
      </c>
      <c r="L6" s="13" t="s">
        <v>122</v>
      </c>
    </row>
    <row r="7" spans="1:12" ht="69.599999999999994" x14ac:dyDescent="0.3">
      <c r="A7" s="11" t="s">
        <v>167</v>
      </c>
      <c r="B7" s="12" t="s">
        <v>168</v>
      </c>
      <c r="C7" s="13" t="s">
        <v>169</v>
      </c>
      <c r="D7" s="13" t="s">
        <v>170</v>
      </c>
      <c r="E7" s="14" t="s">
        <v>55</v>
      </c>
      <c r="F7" s="13" t="s">
        <v>171</v>
      </c>
      <c r="G7" s="13" t="s">
        <v>172</v>
      </c>
      <c r="H7" s="15" t="s">
        <v>239</v>
      </c>
      <c r="I7" s="15" t="s">
        <v>170</v>
      </c>
      <c r="J7" s="16">
        <v>46259</v>
      </c>
      <c r="K7" s="15" t="s">
        <v>58</v>
      </c>
      <c r="L7" s="13" t="s">
        <v>173</v>
      </c>
    </row>
    <row r="8" spans="1:12" ht="34.799999999999997" hidden="1" x14ac:dyDescent="0.3">
      <c r="A8" s="13" t="s">
        <v>65</v>
      </c>
      <c r="B8" s="12" t="s">
        <v>52</v>
      </c>
      <c r="C8" s="13" t="s">
        <v>66</v>
      </c>
      <c r="D8" s="13" t="s">
        <v>43</v>
      </c>
      <c r="E8" s="17" t="s">
        <v>67</v>
      </c>
      <c r="F8" s="13" t="s">
        <v>68</v>
      </c>
      <c r="G8" s="13" t="s">
        <v>69</v>
      </c>
      <c r="H8" s="15"/>
      <c r="I8" s="15"/>
      <c r="J8" s="16"/>
      <c r="K8" s="15" t="s">
        <v>58</v>
      </c>
      <c r="L8" s="13" t="s">
        <v>70</v>
      </c>
    </row>
    <row r="9" spans="1:12" ht="69.599999999999994" hidden="1" x14ac:dyDescent="0.3">
      <c r="A9" s="13" t="s">
        <v>71</v>
      </c>
      <c r="B9" s="12" t="s">
        <v>52</v>
      </c>
      <c r="C9" s="13" t="s">
        <v>72</v>
      </c>
      <c r="D9" s="13" t="s">
        <v>43</v>
      </c>
      <c r="E9" s="17" t="s">
        <v>67</v>
      </c>
      <c r="F9" s="13" t="s">
        <v>73</v>
      </c>
      <c r="G9" s="13" t="s">
        <v>74</v>
      </c>
      <c r="H9" s="15"/>
      <c r="I9" s="15"/>
      <c r="J9" s="16"/>
      <c r="K9" s="15" t="s">
        <v>58</v>
      </c>
      <c r="L9" s="13" t="s">
        <v>75</v>
      </c>
    </row>
    <row r="10" spans="1:12" ht="52.2" hidden="1" x14ac:dyDescent="0.3">
      <c r="A10" s="13" t="s">
        <v>81</v>
      </c>
      <c r="B10" s="12" t="s">
        <v>52</v>
      </c>
      <c r="C10" s="13" t="s">
        <v>82</v>
      </c>
      <c r="D10" s="13" t="s">
        <v>43</v>
      </c>
      <c r="E10" s="17" t="s">
        <v>67</v>
      </c>
      <c r="F10" s="13" t="s">
        <v>83</v>
      </c>
      <c r="G10" s="13" t="s">
        <v>84</v>
      </c>
      <c r="H10" s="15"/>
      <c r="I10" s="15"/>
      <c r="J10" s="16"/>
      <c r="K10" s="15" t="s">
        <v>58</v>
      </c>
      <c r="L10" s="13" t="s">
        <v>85</v>
      </c>
    </row>
    <row r="11" spans="1:12" ht="34.799999999999997" hidden="1" x14ac:dyDescent="0.3">
      <c r="A11" s="13" t="s">
        <v>100</v>
      </c>
      <c r="B11" s="12" t="s">
        <v>52</v>
      </c>
      <c r="C11" s="13" t="s">
        <v>101</v>
      </c>
      <c r="D11" s="13" t="s">
        <v>43</v>
      </c>
      <c r="E11" s="17" t="s">
        <v>67</v>
      </c>
      <c r="F11" s="13" t="s">
        <v>102</v>
      </c>
      <c r="G11" s="13" t="s">
        <v>103</v>
      </c>
      <c r="H11" s="15"/>
      <c r="I11" s="15"/>
      <c r="J11" s="16"/>
      <c r="K11" s="15" t="s">
        <v>58</v>
      </c>
      <c r="L11" s="13" t="s">
        <v>104</v>
      </c>
    </row>
    <row r="12" spans="1:12" ht="52.2" hidden="1" x14ac:dyDescent="0.3">
      <c r="A12" s="13" t="s">
        <v>105</v>
      </c>
      <c r="B12" s="12" t="s">
        <v>52</v>
      </c>
      <c r="C12" s="13" t="s">
        <v>106</v>
      </c>
      <c r="D12" s="13" t="s">
        <v>43</v>
      </c>
      <c r="E12" s="17" t="s">
        <v>67</v>
      </c>
      <c r="F12" s="13" t="s">
        <v>102</v>
      </c>
      <c r="G12" s="13" t="s">
        <v>103</v>
      </c>
      <c r="H12" s="15"/>
      <c r="I12" s="15"/>
      <c r="J12" s="16"/>
      <c r="K12" s="15" t="s">
        <v>58</v>
      </c>
      <c r="L12" s="13" t="s">
        <v>104</v>
      </c>
    </row>
    <row r="13" spans="1:12" ht="34.799999999999997" hidden="1" x14ac:dyDescent="0.3">
      <c r="A13" s="13" t="s">
        <v>107</v>
      </c>
      <c r="B13" s="12" t="s">
        <v>52</v>
      </c>
      <c r="C13" s="13" t="s">
        <v>108</v>
      </c>
      <c r="D13" s="13" t="s">
        <v>43</v>
      </c>
      <c r="E13" s="17" t="s">
        <v>67</v>
      </c>
      <c r="F13" s="13" t="s">
        <v>109</v>
      </c>
      <c r="G13" s="13" t="s">
        <v>110</v>
      </c>
      <c r="H13" s="15"/>
      <c r="I13" s="15"/>
      <c r="J13" s="16"/>
      <c r="K13" s="15" t="s">
        <v>58</v>
      </c>
      <c r="L13" s="13" t="s">
        <v>111</v>
      </c>
    </row>
    <row r="14" spans="1:12" ht="52.2" hidden="1" x14ac:dyDescent="0.3">
      <c r="A14" s="13" t="s">
        <v>135</v>
      </c>
      <c r="B14" s="12" t="s">
        <v>113</v>
      </c>
      <c r="C14" s="13" t="s">
        <v>136</v>
      </c>
      <c r="D14" s="13" t="s">
        <v>115</v>
      </c>
      <c r="E14" s="17" t="s">
        <v>67</v>
      </c>
      <c r="F14" s="13" t="s">
        <v>137</v>
      </c>
      <c r="G14" s="13" t="s">
        <v>138</v>
      </c>
      <c r="H14" s="15"/>
      <c r="I14" s="15"/>
      <c r="J14" s="16"/>
      <c r="K14" s="15" t="s">
        <v>58</v>
      </c>
      <c r="L14" s="13" t="s">
        <v>129</v>
      </c>
    </row>
    <row r="15" spans="1:12" ht="52.2" hidden="1" x14ac:dyDescent="0.3">
      <c r="A15" s="13" t="s">
        <v>152</v>
      </c>
      <c r="B15" s="12" t="s">
        <v>113</v>
      </c>
      <c r="C15" s="13" t="s">
        <v>153</v>
      </c>
      <c r="D15" s="13" t="s">
        <v>115</v>
      </c>
      <c r="E15" s="17" t="s">
        <v>67</v>
      </c>
      <c r="F15" s="13" t="s">
        <v>154</v>
      </c>
      <c r="G15" s="13"/>
      <c r="H15" s="15"/>
      <c r="I15" s="15"/>
      <c r="J15" s="16"/>
      <c r="K15" s="15" t="s">
        <v>58</v>
      </c>
      <c r="L15" s="13" t="s">
        <v>155</v>
      </c>
    </row>
    <row r="16" spans="1:12" ht="52.2" x14ac:dyDescent="0.3">
      <c r="A16" s="13" t="s">
        <v>179</v>
      </c>
      <c r="B16" s="12" t="s">
        <v>168</v>
      </c>
      <c r="C16" s="13" t="s">
        <v>180</v>
      </c>
      <c r="D16" s="13" t="s">
        <v>170</v>
      </c>
      <c r="E16" s="17" t="s">
        <v>67</v>
      </c>
      <c r="F16" s="13" t="s">
        <v>181</v>
      </c>
      <c r="G16" s="13" t="s">
        <v>182</v>
      </c>
      <c r="H16" s="15" t="s">
        <v>240</v>
      </c>
      <c r="I16" s="15" t="s">
        <v>170</v>
      </c>
      <c r="J16" s="16">
        <v>46259</v>
      </c>
      <c r="K16" s="15" t="s">
        <v>58</v>
      </c>
      <c r="L16" s="13" t="s">
        <v>183</v>
      </c>
    </row>
    <row r="17" spans="1:12" ht="52.2" x14ac:dyDescent="0.3">
      <c r="A17" s="13" t="s">
        <v>189</v>
      </c>
      <c r="B17" s="12" t="s">
        <v>168</v>
      </c>
      <c r="C17" s="13" t="s">
        <v>190</v>
      </c>
      <c r="D17" s="13" t="s">
        <v>170</v>
      </c>
      <c r="E17" s="17" t="s">
        <v>67</v>
      </c>
      <c r="F17" s="13" t="s">
        <v>191</v>
      </c>
      <c r="G17" s="13" t="s">
        <v>192</v>
      </c>
      <c r="H17" s="15" t="s">
        <v>241</v>
      </c>
      <c r="I17" s="15" t="s">
        <v>170</v>
      </c>
      <c r="J17" s="16">
        <v>46259</v>
      </c>
      <c r="K17" s="15" t="s">
        <v>58</v>
      </c>
      <c r="L17" s="13" t="s">
        <v>193</v>
      </c>
    </row>
    <row r="18" spans="1:12" ht="69.599999999999994" hidden="1" x14ac:dyDescent="0.3">
      <c r="A18" s="13" t="s">
        <v>60</v>
      </c>
      <c r="B18" s="12" t="s">
        <v>52</v>
      </c>
      <c r="C18" s="13" t="s">
        <v>61</v>
      </c>
      <c r="D18" s="13" t="s">
        <v>43</v>
      </c>
      <c r="E18" s="18" t="s">
        <v>44</v>
      </c>
      <c r="F18" s="13" t="s">
        <v>62</v>
      </c>
      <c r="G18" s="13" t="s">
        <v>63</v>
      </c>
      <c r="H18" s="15"/>
      <c r="I18" s="15"/>
      <c r="J18" s="16"/>
      <c r="K18" s="15" t="s">
        <v>58</v>
      </c>
      <c r="L18" s="13" t="s">
        <v>64</v>
      </c>
    </row>
    <row r="19" spans="1:12" ht="69.599999999999994" hidden="1" x14ac:dyDescent="0.3">
      <c r="A19" s="13" t="s">
        <v>76</v>
      </c>
      <c r="B19" s="12" t="s">
        <v>52</v>
      </c>
      <c r="C19" s="13" t="s">
        <v>77</v>
      </c>
      <c r="D19" s="13" t="s">
        <v>43</v>
      </c>
      <c r="E19" s="18" t="s">
        <v>44</v>
      </c>
      <c r="F19" s="13" t="s">
        <v>78</v>
      </c>
      <c r="G19" s="13" t="s">
        <v>79</v>
      </c>
      <c r="H19" s="15"/>
      <c r="I19" s="15"/>
      <c r="J19" s="16"/>
      <c r="K19" s="15" t="s">
        <v>58</v>
      </c>
      <c r="L19" s="13" t="s">
        <v>80</v>
      </c>
    </row>
    <row r="20" spans="1:12" ht="52.2" hidden="1" x14ac:dyDescent="0.3">
      <c r="A20" s="13" t="s">
        <v>91</v>
      </c>
      <c r="B20" s="12" t="s">
        <v>52</v>
      </c>
      <c r="C20" s="13" t="s">
        <v>92</v>
      </c>
      <c r="D20" s="13" t="s">
        <v>43</v>
      </c>
      <c r="E20" s="18" t="s">
        <v>44</v>
      </c>
      <c r="F20" s="13" t="s">
        <v>93</v>
      </c>
      <c r="G20" s="13" t="s">
        <v>94</v>
      </c>
      <c r="H20" s="15"/>
      <c r="I20" s="15"/>
      <c r="J20" s="16"/>
      <c r="K20" s="15" t="s">
        <v>58</v>
      </c>
      <c r="L20" s="13" t="s">
        <v>95</v>
      </c>
    </row>
    <row r="21" spans="1:12" ht="69.599999999999994" hidden="1" x14ac:dyDescent="0.3">
      <c r="A21" s="13" t="s">
        <v>96</v>
      </c>
      <c r="B21" s="12" t="s">
        <v>52</v>
      </c>
      <c r="C21" s="13" t="s">
        <v>97</v>
      </c>
      <c r="D21" s="13" t="s">
        <v>43</v>
      </c>
      <c r="E21" s="18" t="s">
        <v>44</v>
      </c>
      <c r="F21" s="13" t="s">
        <v>98</v>
      </c>
      <c r="G21" s="13"/>
      <c r="H21" s="15"/>
      <c r="I21" s="15"/>
      <c r="J21" s="16"/>
      <c r="K21" s="15" t="s">
        <v>58</v>
      </c>
      <c r="L21" s="13" t="s">
        <v>99</v>
      </c>
    </row>
    <row r="22" spans="1:12" ht="69.599999999999994" hidden="1" x14ac:dyDescent="0.3">
      <c r="A22" s="13" t="s">
        <v>123</v>
      </c>
      <c r="B22" s="12" t="s">
        <v>113</v>
      </c>
      <c r="C22" s="13" t="s">
        <v>124</v>
      </c>
      <c r="D22" s="13" t="s">
        <v>115</v>
      </c>
      <c r="E22" s="18" t="s">
        <v>44</v>
      </c>
      <c r="F22" s="13" t="s">
        <v>125</v>
      </c>
      <c r="G22" s="13"/>
      <c r="H22" s="15"/>
      <c r="I22" s="15"/>
      <c r="J22" s="16"/>
      <c r="K22" s="15" t="s">
        <v>58</v>
      </c>
      <c r="L22" s="13" t="s">
        <v>126</v>
      </c>
    </row>
    <row r="23" spans="1:12" ht="52.2" hidden="1" x14ac:dyDescent="0.3">
      <c r="A23" s="13" t="s">
        <v>127</v>
      </c>
      <c r="B23" s="12" t="s">
        <v>113</v>
      </c>
      <c r="C23" s="13" t="s">
        <v>128</v>
      </c>
      <c r="D23" s="13" t="s">
        <v>115</v>
      </c>
      <c r="E23" s="18" t="s">
        <v>44</v>
      </c>
      <c r="F23" s="13" t="s">
        <v>125</v>
      </c>
      <c r="G23" s="13"/>
      <c r="H23" s="15"/>
      <c r="I23" s="15"/>
      <c r="J23" s="16"/>
      <c r="K23" s="15" t="s">
        <v>58</v>
      </c>
      <c r="L23" s="13" t="s">
        <v>129</v>
      </c>
    </row>
    <row r="24" spans="1:12" ht="69.599999999999994" hidden="1" x14ac:dyDescent="0.3">
      <c r="A24" s="13" t="s">
        <v>130</v>
      </c>
      <c r="B24" s="12" t="s">
        <v>113</v>
      </c>
      <c r="C24" s="13" t="s">
        <v>131</v>
      </c>
      <c r="D24" s="13" t="s">
        <v>115</v>
      </c>
      <c r="E24" s="18" t="s">
        <v>44</v>
      </c>
      <c r="F24" s="13" t="s">
        <v>132</v>
      </c>
      <c r="G24" s="13"/>
      <c r="H24" s="15"/>
      <c r="I24" s="15"/>
      <c r="J24" s="16"/>
      <c r="K24" s="15" t="s">
        <v>58</v>
      </c>
      <c r="L24" s="13" t="s">
        <v>129</v>
      </c>
    </row>
    <row r="25" spans="1:12" ht="34.799999999999997" hidden="1" x14ac:dyDescent="0.3">
      <c r="A25" s="13" t="s">
        <v>133</v>
      </c>
      <c r="B25" s="12" t="s">
        <v>113</v>
      </c>
      <c r="C25" s="13" t="s">
        <v>134</v>
      </c>
      <c r="D25" s="13" t="s">
        <v>115</v>
      </c>
      <c r="E25" s="18" t="s">
        <v>44</v>
      </c>
      <c r="F25" s="13" t="s">
        <v>125</v>
      </c>
      <c r="G25" s="13"/>
      <c r="H25" s="15"/>
      <c r="I25" s="15"/>
      <c r="J25" s="16"/>
      <c r="K25" s="15" t="s">
        <v>58</v>
      </c>
      <c r="L25" s="13" t="s">
        <v>129</v>
      </c>
    </row>
    <row r="26" spans="1:12" ht="69.599999999999994" hidden="1" x14ac:dyDescent="0.3">
      <c r="A26" s="13" t="s">
        <v>139</v>
      </c>
      <c r="B26" s="12" t="s">
        <v>113</v>
      </c>
      <c r="C26" s="13" t="s">
        <v>140</v>
      </c>
      <c r="D26" s="13" t="s">
        <v>115</v>
      </c>
      <c r="E26" s="18" t="s">
        <v>44</v>
      </c>
      <c r="F26" s="13" t="s">
        <v>125</v>
      </c>
      <c r="G26" s="13"/>
      <c r="H26" s="15"/>
      <c r="I26" s="15"/>
      <c r="J26" s="16"/>
      <c r="K26" s="15" t="s">
        <v>58</v>
      </c>
      <c r="L26" s="13" t="s">
        <v>141</v>
      </c>
    </row>
    <row r="27" spans="1:12" ht="69.599999999999994" hidden="1" x14ac:dyDescent="0.3">
      <c r="A27" s="13" t="s">
        <v>142</v>
      </c>
      <c r="B27" s="12" t="s">
        <v>113</v>
      </c>
      <c r="C27" s="13" t="s">
        <v>143</v>
      </c>
      <c r="D27" s="13" t="s">
        <v>115</v>
      </c>
      <c r="E27" s="18" t="s">
        <v>44</v>
      </c>
      <c r="F27" s="13" t="s">
        <v>144</v>
      </c>
      <c r="G27" s="13" t="s">
        <v>145</v>
      </c>
      <c r="H27" s="15"/>
      <c r="I27" s="15"/>
      <c r="J27" s="16"/>
      <c r="K27" s="15" t="s">
        <v>58</v>
      </c>
      <c r="L27" s="13" t="s">
        <v>146</v>
      </c>
    </row>
    <row r="28" spans="1:12" ht="69.599999999999994" hidden="1" x14ac:dyDescent="0.3">
      <c r="A28" s="13" t="s">
        <v>147</v>
      </c>
      <c r="B28" s="12" t="s">
        <v>113</v>
      </c>
      <c r="C28" s="13" t="s">
        <v>148</v>
      </c>
      <c r="D28" s="13" t="s">
        <v>115</v>
      </c>
      <c r="E28" s="18" t="s">
        <v>44</v>
      </c>
      <c r="F28" s="13" t="s">
        <v>149</v>
      </c>
      <c r="G28" s="13" t="s">
        <v>150</v>
      </c>
      <c r="H28" s="15"/>
      <c r="I28" s="15"/>
      <c r="J28" s="16"/>
      <c r="K28" s="15" t="s">
        <v>58</v>
      </c>
      <c r="L28" s="13" t="s">
        <v>151</v>
      </c>
    </row>
    <row r="29" spans="1:12" ht="104.4" hidden="1" x14ac:dyDescent="0.3">
      <c r="A29" s="13" t="s">
        <v>156</v>
      </c>
      <c r="B29" s="12" t="s">
        <v>157</v>
      </c>
      <c r="C29" s="13" t="s">
        <v>158</v>
      </c>
      <c r="D29" s="13" t="s">
        <v>159</v>
      </c>
      <c r="E29" s="18" t="s">
        <v>44</v>
      </c>
      <c r="F29" s="13" t="s">
        <v>160</v>
      </c>
      <c r="G29" s="13" t="s">
        <v>161</v>
      </c>
      <c r="H29" s="15"/>
      <c r="I29" s="15"/>
      <c r="J29" s="16"/>
      <c r="K29" s="15" t="s">
        <v>58</v>
      </c>
      <c r="L29" s="13" t="s">
        <v>162</v>
      </c>
    </row>
    <row r="30" spans="1:12" ht="69.599999999999994" hidden="1" x14ac:dyDescent="0.3">
      <c r="A30" s="13" t="s">
        <v>163</v>
      </c>
      <c r="B30" s="12" t="s">
        <v>157</v>
      </c>
      <c r="C30" s="13" t="s">
        <v>164</v>
      </c>
      <c r="D30" s="13" t="s">
        <v>165</v>
      </c>
      <c r="E30" s="18" t="s">
        <v>44</v>
      </c>
      <c r="F30" s="13" t="s">
        <v>160</v>
      </c>
      <c r="G30" s="13" t="s">
        <v>166</v>
      </c>
      <c r="H30" s="15"/>
      <c r="I30" s="15"/>
      <c r="J30" s="16"/>
      <c r="K30" s="15" t="s">
        <v>58</v>
      </c>
      <c r="L30" s="13" t="s">
        <v>162</v>
      </c>
    </row>
    <row r="31" spans="1:12" ht="104.4" x14ac:dyDescent="0.3">
      <c r="A31" s="13" t="s">
        <v>174</v>
      </c>
      <c r="B31" s="12" t="s">
        <v>168</v>
      </c>
      <c r="C31" s="13" t="s">
        <v>175</v>
      </c>
      <c r="D31" s="13" t="s">
        <v>170</v>
      </c>
      <c r="E31" s="18" t="s">
        <v>44</v>
      </c>
      <c r="F31" s="13" t="s">
        <v>176</v>
      </c>
      <c r="G31" s="13" t="s">
        <v>177</v>
      </c>
      <c r="H31" s="15"/>
      <c r="I31" s="15"/>
      <c r="J31" s="16"/>
      <c r="K31" s="15" t="s">
        <v>58</v>
      </c>
      <c r="L31" s="13" t="s">
        <v>178</v>
      </c>
    </row>
    <row r="32" spans="1:12" ht="87" x14ac:dyDescent="0.3">
      <c r="A32" s="13" t="s">
        <v>184</v>
      </c>
      <c r="B32" s="12" t="s">
        <v>168</v>
      </c>
      <c r="C32" s="13" t="s">
        <v>185</v>
      </c>
      <c r="D32" s="13" t="s">
        <v>170</v>
      </c>
      <c r="E32" s="18" t="s">
        <v>44</v>
      </c>
      <c r="F32" s="13" t="s">
        <v>186</v>
      </c>
      <c r="G32" s="13" t="s">
        <v>187</v>
      </c>
      <c r="H32" s="15" t="s">
        <v>242</v>
      </c>
      <c r="I32" s="15" t="s">
        <v>170</v>
      </c>
      <c r="J32" s="16">
        <v>46259</v>
      </c>
      <c r="K32" s="15" t="s">
        <v>58</v>
      </c>
      <c r="L32" s="13" t="s">
        <v>188</v>
      </c>
    </row>
    <row r="33" spans="1:12" ht="52.2" x14ac:dyDescent="0.3">
      <c r="A33" s="13" t="s">
        <v>194</v>
      </c>
      <c r="B33" s="12" t="s">
        <v>168</v>
      </c>
      <c r="C33" s="13" t="s">
        <v>195</v>
      </c>
      <c r="D33" s="13" t="s">
        <v>170</v>
      </c>
      <c r="E33" s="18" t="s">
        <v>44</v>
      </c>
      <c r="F33" s="13" t="s">
        <v>196</v>
      </c>
      <c r="G33" s="13"/>
      <c r="H33" s="15" t="s">
        <v>240</v>
      </c>
      <c r="I33" s="15" t="s">
        <v>170</v>
      </c>
      <c r="J33" s="16">
        <v>46259</v>
      </c>
      <c r="K33" s="15" t="s">
        <v>58</v>
      </c>
      <c r="L33" s="13" t="s">
        <v>197</v>
      </c>
    </row>
    <row r="34" spans="1:12" ht="87" x14ac:dyDescent="0.3">
      <c r="A34" s="13" t="s">
        <v>198</v>
      </c>
      <c r="B34" s="12" t="s">
        <v>168</v>
      </c>
      <c r="C34" s="13" t="s">
        <v>199</v>
      </c>
      <c r="D34" s="13" t="s">
        <v>170</v>
      </c>
      <c r="E34" s="18" t="s">
        <v>44</v>
      </c>
      <c r="F34" s="13" t="s">
        <v>200</v>
      </c>
      <c r="G34" s="13" t="s">
        <v>201</v>
      </c>
      <c r="H34" s="15" t="s">
        <v>243</v>
      </c>
      <c r="I34" s="15" t="s">
        <v>170</v>
      </c>
      <c r="J34" s="16">
        <v>46259</v>
      </c>
      <c r="K34" s="15" t="s">
        <v>58</v>
      </c>
      <c r="L34" s="13" t="s">
        <v>202</v>
      </c>
    </row>
    <row r="35" spans="1:12" ht="52.2" x14ac:dyDescent="0.3">
      <c r="A35" s="13" t="s">
        <v>203</v>
      </c>
      <c r="B35" s="12" t="s">
        <v>168</v>
      </c>
      <c r="C35" s="13" t="s">
        <v>204</v>
      </c>
      <c r="D35" s="13" t="s">
        <v>170</v>
      </c>
      <c r="E35" s="18" t="s">
        <v>44</v>
      </c>
      <c r="F35" s="13" t="s">
        <v>205</v>
      </c>
      <c r="G35" s="13" t="s">
        <v>206</v>
      </c>
      <c r="H35" s="15" t="s">
        <v>244</v>
      </c>
      <c r="I35" s="15" t="s">
        <v>170</v>
      </c>
      <c r="J35" s="16">
        <v>46259</v>
      </c>
      <c r="K35" s="15" t="s">
        <v>58</v>
      </c>
      <c r="L35" s="13" t="s">
        <v>207</v>
      </c>
    </row>
  </sheetData>
  <autoFilter ref="A1:L35" xr:uid="{00000000-0009-0000-0000-000001000000}">
    <filterColumn colId="3">
      <filters>
        <filter val="Ralph"/>
      </filters>
    </filterColumn>
    <sortState xmlns:xlrd2="http://schemas.microsoft.com/office/spreadsheetml/2017/richdata2" ref="A3:L35">
      <sortCondition ref="E3:E35"/>
    </sortState>
  </autoFilter>
  <dataValidations count="1">
    <dataValidation type="list" allowBlank="1" errorTitle="Invalid status" error="Pick one of: Open, Answered, Deferred, N/A" sqref="K2:K35" xr:uid="{00000000-0002-0000-0100-000000000000}">
      <formula1>"Open,Answered,Deferred,N/A"</formula1>
    </dataValidation>
  </dataValidations>
  <printOptions horizontalCentered="1"/>
  <pageMargins left="0.25" right="0" top="0.25" bottom="0" header="0.3" footer="0"/>
  <pageSetup paperSize="9" scale="62"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
  <sheetViews>
    <sheetView workbookViewId="0">
      <pane ySplit="1" topLeftCell="A2" activePane="bottomLeft" state="frozen"/>
      <selection pane="bottomLeft"/>
    </sheetView>
  </sheetViews>
  <sheetFormatPr defaultRowHeight="14.4" x14ac:dyDescent="0.3"/>
  <cols>
    <col min="1" max="1" width="46" customWidth="1"/>
    <col min="2" max="2" width="72" customWidth="1"/>
    <col min="3" max="4" width="12" customWidth="1"/>
    <col min="5" max="5" width="26" customWidth="1"/>
  </cols>
  <sheetData>
    <row r="1" spans="1:5" x14ac:dyDescent="0.3">
      <c r="A1" s="7" t="s">
        <v>208</v>
      </c>
      <c r="B1" s="7" t="s">
        <v>35</v>
      </c>
      <c r="C1" s="7" t="s">
        <v>209</v>
      </c>
      <c r="D1" s="7" t="s">
        <v>37</v>
      </c>
      <c r="E1" s="7" t="s">
        <v>210</v>
      </c>
    </row>
    <row r="2" spans="1:5" ht="26.4" x14ac:dyDescent="0.3">
      <c r="A2" s="8" t="s">
        <v>211</v>
      </c>
      <c r="B2" s="8" t="s">
        <v>212</v>
      </c>
      <c r="C2" s="8" t="s">
        <v>170</v>
      </c>
      <c r="D2" s="8" t="s">
        <v>213</v>
      </c>
      <c r="E2" s="8" t="s">
        <v>104</v>
      </c>
    </row>
    <row r="3" spans="1:5" ht="26.4" x14ac:dyDescent="0.3">
      <c r="A3" s="8" t="s">
        <v>214</v>
      </c>
      <c r="B3" s="8" t="s">
        <v>215</v>
      </c>
      <c r="C3" s="8" t="s">
        <v>170</v>
      </c>
      <c r="D3" s="8" t="s">
        <v>213</v>
      </c>
      <c r="E3" s="8" t="s">
        <v>216</v>
      </c>
    </row>
    <row r="4" spans="1:5" x14ac:dyDescent="0.3">
      <c r="A4" s="8" t="s">
        <v>217</v>
      </c>
      <c r="B4" s="8" t="s">
        <v>218</v>
      </c>
      <c r="C4" s="8" t="s">
        <v>170</v>
      </c>
      <c r="D4" s="8" t="s">
        <v>213</v>
      </c>
      <c r="E4" s="8" t="s">
        <v>104</v>
      </c>
    </row>
    <row r="5" spans="1:5" ht="26.4" x14ac:dyDescent="0.3">
      <c r="A5" s="8" t="s">
        <v>219</v>
      </c>
      <c r="B5" s="8" t="s">
        <v>220</v>
      </c>
      <c r="C5" s="8" t="s">
        <v>170</v>
      </c>
      <c r="D5" s="8" t="s">
        <v>213</v>
      </c>
      <c r="E5" s="8" t="s">
        <v>221</v>
      </c>
    </row>
    <row r="6" spans="1:5" x14ac:dyDescent="0.3">
      <c r="A6" s="8" t="s">
        <v>222</v>
      </c>
      <c r="B6" s="8" t="s">
        <v>223</v>
      </c>
      <c r="C6" s="8" t="s">
        <v>170</v>
      </c>
      <c r="D6" s="8" t="s">
        <v>213</v>
      </c>
      <c r="E6" s="8" t="s">
        <v>183</v>
      </c>
    </row>
    <row r="7" spans="1:5" ht="26.4" x14ac:dyDescent="0.3">
      <c r="A7" s="8" t="s">
        <v>224</v>
      </c>
      <c r="B7" s="8" t="s">
        <v>225</v>
      </c>
      <c r="C7" s="8" t="s">
        <v>170</v>
      </c>
      <c r="D7" s="8" t="s">
        <v>213</v>
      </c>
      <c r="E7" s="8" t="s">
        <v>226</v>
      </c>
    </row>
    <row r="8" spans="1:5" ht="26.4" x14ac:dyDescent="0.3">
      <c r="A8" s="8" t="s">
        <v>227</v>
      </c>
      <c r="B8" s="8" t="s">
        <v>228</v>
      </c>
      <c r="C8" s="8" t="s">
        <v>170</v>
      </c>
      <c r="D8" s="8" t="s">
        <v>229</v>
      </c>
      <c r="E8" s="8" t="s">
        <v>230</v>
      </c>
    </row>
    <row r="9" spans="1:5" ht="39.6" x14ac:dyDescent="0.3">
      <c r="A9" s="8" t="s">
        <v>231</v>
      </c>
      <c r="B9" s="8" t="s">
        <v>232</v>
      </c>
      <c r="C9" s="8" t="s">
        <v>170</v>
      </c>
      <c r="D9" s="8" t="s">
        <v>229</v>
      </c>
      <c r="E9" s="8" t="s">
        <v>233</v>
      </c>
    </row>
    <row r="10" spans="1:5" x14ac:dyDescent="0.3">
      <c r="A10" s="8" t="s">
        <v>234</v>
      </c>
      <c r="B10" s="8" t="s">
        <v>235</v>
      </c>
      <c r="C10" s="8" t="s">
        <v>170</v>
      </c>
      <c r="D10" s="8" t="s">
        <v>236</v>
      </c>
      <c r="E10" s="8" t="s">
        <v>237</v>
      </c>
    </row>
    <row r="12" spans="1:5" x14ac:dyDescent="0.3">
      <c r="A12" s="6" t="s">
        <v>238</v>
      </c>
    </row>
  </sheetData>
  <pageMargins left="0.75" right="0.75" top="1" bottom="1" header="0.5" footer="0.5"/>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Open Items</vt:lpstr>
      <vt:lpstr>Settled</vt:lpstr>
      <vt:lpstr>'Open Items'!Print_Titles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Ralph Armand Alcaide</cp:lastModifiedBy>
  <cp:lastPrinted>2026-08-25T01:38:36Z</cp:lastPrinted>
  <dcterms:created xsi:type="dcterms:W3CDTF">2026-08-25T00:32:41Z</dcterms:created>
  <dcterms:modified xsi:type="dcterms:W3CDTF">2026-08-25T02:55:03Z</dcterms:modified>
</cp:coreProperties>
</file>