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Read Me" sheetId="1" state="visible" r:id="rId1"/>
    <sheet name="Open Items" sheetId="2" state="visible" r:id="rId2"/>
    <sheet name="Settled" sheetId="3" state="visible" r:id="rId3"/>
  </sheets>
  <definedNames>
    <definedName name="_xlnm._FilterDatabase" localSheetId="1" hidden="1">'Open Items'!$A$1:$L$59</definedName>
    <definedName name="_xlnm.Print_Titles" localSheetId="1">'Open Items'!$1:$1</definedName>
  </definedNames>
  <calcPr calcId="19102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FF1F3864"/>
      <sz val="16"/>
    </font>
    <font>
      <name val="Arial"/>
      <b val="1"/>
      <color rgb="FF1F3864"/>
      <sz val="11"/>
    </font>
    <font>
      <name val="Arial"/>
      <sz val="10"/>
    </font>
    <font>
      <name val="Arial"/>
      <b val="1"/>
      <sz val="10"/>
    </font>
    <font>
      <name val="Arial"/>
      <i val="1"/>
      <color rgb="FF808080"/>
      <sz val="9"/>
    </font>
    <font>
      <name val="Arial"/>
      <b val="1"/>
      <color rgb="FFFFFFFF"/>
      <sz val="10"/>
    </font>
    <font>
      <name val="Arial"/>
      <family val="2"/>
      <b val="1"/>
      <color rgb="FFFFFFFF"/>
      <sz val="14"/>
    </font>
    <font>
      <name val="Arial"/>
      <family val="2"/>
      <i val="1"/>
      <color rgb="FF808080"/>
      <sz val="14"/>
    </font>
    <font>
      <name val="Arial"/>
      <family val="2"/>
      <b val="1"/>
      <sz val="14"/>
    </font>
    <font>
      <name val="Arial"/>
      <family val="2"/>
      <sz val="14"/>
    </font>
  </fonts>
  <fills count="9">
    <fill>
      <patternFill/>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D9E1F2"/>
      </patternFill>
    </fill>
    <fill>
      <patternFill patternType="solid">
        <fgColor rgb="FFF8CBAD"/>
      </patternFill>
    </fill>
    <fill>
      <patternFill patternType="solid">
        <fgColor rgb="FFFFE699"/>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0" fontId="4" fillId="0" borderId="0" applyAlignment="1" pivotButton="0" quotePrefix="0" xfId="0">
      <alignment horizontal="center"/>
    </xf>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top" wrapText="1"/>
    </xf>
    <xf numFmtId="0" fontId="7" fillId="2" borderId="1" applyAlignment="1" pivotButton="0" quotePrefix="0" xfId="0">
      <alignment horizontal="center" vertical="center" wrapText="1"/>
    </xf>
    <xf numFmtId="0" fontId="8" fillId="3" borderId="1" applyAlignment="1" pivotButton="0" quotePrefix="0" xfId="0">
      <alignment vertical="top" wrapText="1"/>
    </xf>
    <xf numFmtId="0" fontId="9" fillId="0" borderId="1" applyAlignment="1" pivotButton="0" quotePrefix="0" xfId="0">
      <alignment vertical="top" wrapText="1"/>
    </xf>
    <xf numFmtId="0" fontId="10" fillId="5" borderId="1" applyAlignment="1" pivotButton="0" quotePrefix="0" xfId="0">
      <alignment vertical="top" wrapText="1"/>
    </xf>
    <xf numFmtId="0" fontId="10" fillId="0" borderId="1" applyAlignment="1" pivotButton="0" quotePrefix="0" xfId="0">
      <alignment vertical="top" wrapText="1"/>
    </xf>
    <xf numFmtId="0" fontId="9" fillId="6" borderId="1" applyAlignment="1" pivotButton="0" quotePrefix="0" xfId="0">
      <alignment horizontal="center"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10" fillId="8" borderId="1" applyAlignment="1" pivotButton="0" quotePrefix="0" xfId="0">
      <alignment horizontal="center" vertical="top" wrapText="1"/>
    </xf>
    <xf numFmtId="0" fontId="10" fillId="7" borderId="1" applyAlignment="1" pivotButton="0" quotePrefix="0" xfId="0">
      <alignment horizontal="center" vertical="top" wrapText="1"/>
    </xf>
    <xf numFmtId="0" fontId="8"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topLeftCell="A9" workbookViewId="0">
      <selection activeCell="C7" sqref="C7"/>
    </sheetView>
  </sheetViews>
  <sheetFormatPr baseColWidth="8" defaultRowHeight="14.4"/>
  <cols>
    <col width="100" customWidth="1" min="1" max="1"/>
    <col width="10" customWidth="1" min="2" max="2"/>
  </cols>
  <sheetData>
    <row r="1" ht="21" customHeight="1">
      <c r="A1" s="1" t="inlineStr">
        <is>
          <t>v1.8.0 — Open Items for Clarification</t>
        </is>
      </c>
    </row>
    <row r="3">
      <c r="A3" s="2" t="inlineStr">
        <is>
          <t>What this is</t>
        </is>
      </c>
    </row>
    <row r="4">
      <c r="A4" s="3" t="inlineStr">
        <is>
          <t>Every question still blocking or shaping v1.8.0, in one place, with somewhere to write the answer down. Generated 2026-08-25 from docs/v1.8/Monday_Questions.md.</t>
        </is>
      </c>
    </row>
    <row r="6">
      <c r="A6" s="2" t="inlineStr">
        <is>
          <t>Source documents (all on release/1.8.0)</t>
        </is>
      </c>
    </row>
    <row r="7">
      <c r="A7" s="3" t="inlineStr">
        <is>
          <t>Monday_Questions.md — the meeting version, grouped by who can answer</t>
        </is>
      </c>
    </row>
    <row r="8">
      <c r="A8" s="3" t="inlineStr">
        <is>
          <t>AIP_Requirements_Review.md — the technical reasoning behind each item (§ refs in column L)</t>
        </is>
      </c>
    </row>
    <row r="9">
      <c r="A9" s="3" t="inlineStr">
        <is>
          <t>Phase_Plan.md §9 — the same decisions ordered by the phase each one blocks</t>
        </is>
      </c>
    </row>
    <row r="10">
      <c r="A10" s="3" t="inlineStr">
        <is>
          <t>Office_User_Path_Findings.md §6.4 — the office/reviewer questions folded into B4 here</t>
        </is>
      </c>
    </row>
    <row r="11">
      <c r="A11" s="3" t="n"/>
    </row>
    <row r="12">
      <c r="A12" s="3" t="inlineStr">
        <is>
          <t>Updated 2026-08-26 (follow-up answers)</t>
        </is>
      </c>
    </row>
    <row r="13">
      <c r="A13" s="3" t="inlineStr">
        <is>
          <t>All 18 rows opened by the 2026-08-25 meeting have now been answered. DECISION G (G1-G6) resolved to a PRESENTATION-ONLY +30% uplift — the ceiling and the AIP→WFP limit both see the BASE figure. A6-1's all-fund ceiling was REVERSED BACK to General Fund only (A1-b, A6-4, confirmed 2026-08-26), so A6-1 is superseded, A6-4 is N/A and work item V18-78 is dropped. Three rows are HELD OPEN because the answer does not pick between the options asked (G5, A5-b, A1-b), and four follow-up rows were added (B9-b, B10-b, B12-b, W13-b). The reading of each answer is in Phase_Plan.md §12. A1-b was closed later the same day: the WFP allocation check STAYS LIVE (it was going to be retired), an expenditure is bound by the LESSER of its AIP activity and the fund's current remaining allocation, and the AIP reservation is relieved per activity as the WFP commits. NO BLOCKER REMAINS.</t>
        </is>
      </c>
    </row>
    <row r="15">
      <c r="A15" s="2" t="inlineStr">
        <is>
          <t>How to use it</t>
        </is>
      </c>
    </row>
    <row r="16">
      <c r="A16" s="3" t="inlineStr">
        <is>
          <t>Fill in the SHADED columns only — Answer, Answered by, Date, Status (columns H to K).</t>
        </is>
      </c>
    </row>
    <row r="17">
      <c r="A17" s="3" t="inlineStr">
        <is>
          <t>Everything to the left is the question as recorded; leave it as-is so the two stay comparable.</t>
        </is>
      </c>
    </row>
    <row r="18">
      <c r="A18" s="3" t="inlineStr">
        <is>
          <t>Row 2 of 'Open Items' is a greyed-out EXAMPLE showing the expected format. It is excluded</t>
        </is>
      </c>
    </row>
    <row r="19">
      <c r="A19" s="3" t="inlineStr">
        <is>
          <t>from the counts below, and can be deleted once you no longer need it.</t>
        </is>
      </c>
    </row>
    <row r="20">
      <c r="A20" s="2" t="inlineStr">
        <is>
          <t>Column M — worked examples (added 2026-08-25)</t>
        </is>
      </c>
    </row>
    <row r="21">
      <c r="A21" s="3" t="inlineStr">
        <is>
          <t>For the money/rounding items (A1, A3, A2-1 through A2-5, A4, A5, A6-1 through A6-3), column M spells out a concrete peso example, added for the PBO/PPDC handoff so the numbers are unambiguous without reading the technical docs. It sits outside the shaded answer columns and is not part of the original Monday_Questions.md format.</t>
        </is>
      </c>
    </row>
    <row r="24">
      <c r="A24" s="2" t="inlineStr">
        <is>
          <t>Priority</t>
        </is>
      </c>
    </row>
    <row r="25">
      <c r="A25" s="3" t="inlineStr">
        <is>
          <t>Blocker — work on that area cannot start until it is answered. Five of them.</t>
        </is>
      </c>
    </row>
    <row r="26">
      <c r="A26" s="3" t="inlineStr">
        <is>
          <t>High — not blocking today, but blocks a later phase.</t>
        </is>
      </c>
    </row>
    <row r="27">
      <c r="A27" s="3" t="inlineStr">
        <is>
          <t>Confirm — we believe we know the answer; just needs a yes.</t>
        </is>
      </c>
    </row>
    <row r="29">
      <c r="A29" s="2" t="inlineStr">
        <is>
          <t>Status values</t>
        </is>
      </c>
    </row>
    <row r="30">
      <c r="A30" s="3" t="inlineStr">
        <is>
          <t>Open · Answered · Deferred · N/A   (pick from the dropdown in column K)</t>
        </is>
      </c>
    </row>
    <row r="32">
      <c r="A32" s="2" t="inlineStr">
        <is>
          <t>Where the answers go afterwards</t>
        </is>
      </c>
    </row>
    <row r="33">
      <c r="A33" s="3" t="inlineStr">
        <is>
          <t>Anything answered here needs recording in AIP_Requirements_Review.md §10 and Phase_Plan.md §9 —</t>
        </is>
      </c>
    </row>
    <row r="34">
      <c r="A34" s="3" t="inlineStr">
        <is>
          <t>that is the step that was missed after the 2026-08-17 meeting.</t>
        </is>
      </c>
    </row>
    <row r="36">
      <c r="A36" s="2" t="inlineStr">
        <is>
          <t>Progress</t>
        </is>
      </c>
    </row>
    <row r="37">
      <c r="A37" s="3" t="inlineStr">
        <is>
          <t>Total items</t>
        </is>
      </c>
      <c r="B37" s="4">
        <f>COUNTA('Open Items'!A3:A100)</f>
        <v/>
      </c>
    </row>
    <row r="38">
      <c r="A38" s="3" t="inlineStr">
        <is>
          <t>Still open</t>
        </is>
      </c>
      <c r="B38" s="4">
        <f>COUNTIF('Open Items'!K3:K100,"Open")</f>
        <v/>
      </c>
    </row>
    <row r="39">
      <c r="A39" s="3" t="inlineStr">
        <is>
          <t>Answered</t>
        </is>
      </c>
      <c r="B39" s="4">
        <f>COUNTIF('Open Items'!K3:K100,"Answered")</f>
        <v/>
      </c>
    </row>
    <row r="40">
      <c r="A40" s="3" t="inlineStr">
        <is>
          <t>Deferred</t>
        </is>
      </c>
      <c r="B40" s="4">
        <f>COUNTIF('Open Items'!K3:K100,"Deferred")</f>
        <v/>
      </c>
    </row>
    <row r="41">
      <c r="A41" s="3" t="inlineStr">
        <is>
          <t>Blockers still open</t>
        </is>
      </c>
      <c r="B41" s="5">
        <f>COUNTIFS('Open Items'!E3:E100,"Blocker",'Open Items'!K3:K100,"Open")</f>
        <v/>
      </c>
    </row>
    <row r="42">
      <c r="A42" s="6" t="inlineStr">
        <is>
          <t>Counts read rows 3-100 of 'Open Items', so the example row in row 2 is excluded.</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fitToPage="1"/>
  </sheetPr>
  <dimension ref="A1:M60"/>
  <sheetViews>
    <sheetView tabSelected="1" view="pageBreakPreview" zoomScale="60" zoomScaleNormal="100" workbookViewId="0">
      <pane xSplit="2" ySplit="1" topLeftCell="C29" activePane="bottomRight" state="frozen"/>
      <selection pane="topRight" activeCell="A1" sqref="A1"/>
      <selection pane="bottomLeft" activeCell="A1" sqref="A1"/>
      <selection pane="bottomRight" activeCell="A54" sqref="A54"/>
    </sheetView>
  </sheetViews>
  <sheetFormatPr baseColWidth="8" defaultRowHeight="14.4"/>
  <cols>
    <col width="7" customWidth="1" min="1" max="1"/>
    <col width="13" customWidth="1" min="2" max="2"/>
    <col width="62" customWidth="1" min="3" max="3"/>
    <col width="12.88671875" bestFit="1" customWidth="1" min="4" max="4"/>
    <col width="17.88671875" bestFit="1" customWidth="1" min="5" max="5"/>
    <col hidden="1" width="26" customWidth="1" min="6" max="6"/>
    <col width="46" customWidth="1" min="7" max="7"/>
    <col width="34" customWidth="1" min="8" max="8"/>
    <col width="14" customWidth="1" min="9" max="9"/>
    <col width="15.109375" bestFit="1" customWidth="1" min="10" max="10"/>
    <col width="11" customWidth="1" min="11" max="11"/>
    <col hidden="1" width="22" customWidth="1" min="12" max="12"/>
    <col width="55" customWidth="1" min="13" max="13"/>
  </cols>
  <sheetData>
    <row r="1" ht="34.8" customHeight="1">
      <c r="A1" s="9" t="inlineStr">
        <is>
          <t>ID</t>
        </is>
      </c>
      <c r="B1" s="9" t="inlineStr">
        <is>
          <t>Group</t>
        </is>
      </c>
      <c r="C1" s="9" t="inlineStr">
        <is>
          <t>Question</t>
        </is>
      </c>
      <c r="D1" s="9" t="inlineStr">
        <is>
          <t>Ask</t>
        </is>
      </c>
      <c r="E1" s="9" t="inlineStr">
        <is>
          <t>Priority</t>
        </is>
      </c>
      <c r="F1" s="9" t="inlineStr">
        <is>
          <t>What it blocks</t>
        </is>
      </c>
      <c r="G1" s="9" t="inlineStr">
        <is>
          <t>Our recommendation</t>
        </is>
      </c>
      <c r="H1" s="9" t="inlineStr">
        <is>
          <t>Answer</t>
        </is>
      </c>
      <c r="I1" s="9" t="inlineStr">
        <is>
          <t>Answered by</t>
        </is>
      </c>
      <c r="J1" s="9" t="inlineStr">
        <is>
          <t>Date</t>
        </is>
      </c>
      <c r="K1" s="9" t="inlineStr">
        <is>
          <t>Status</t>
        </is>
      </c>
      <c r="L1" s="9" t="inlineStr">
        <is>
          <t>Ref</t>
        </is>
      </c>
      <c r="M1" s="9" t="inlineStr">
        <is>
          <t>Example (added for PBO/PPDC handoff)</t>
        </is>
      </c>
    </row>
    <row r="2" hidden="1" ht="54" customHeight="1">
      <c r="A2" s="10" t="inlineStr">
        <is>
          <t>EX</t>
        </is>
      </c>
      <c r="B2" s="10" t="inlineStr">
        <is>
          <t>— example —</t>
        </is>
      </c>
      <c r="C2" s="10" t="inlineStr">
        <is>
          <t>This row shows the expected format. Delete it whenever you like — it is excluded from the counts on the Read Me sheet.</t>
        </is>
      </c>
      <c r="D2" s="10" t="inlineStr">
        <is>
          <t>PBO</t>
        </is>
      </c>
      <c r="E2" s="10" t="inlineStr">
        <is>
          <t>High</t>
        </is>
      </c>
      <c r="F2" s="10" t="inlineStr">
        <is>
          <t>Nothing — illustration only</t>
        </is>
      </c>
      <c r="G2" s="10" t="inlineStr">
        <is>
          <t>What we would suggest, if anything</t>
        </is>
      </c>
      <c r="H2" s="10" t="inlineStr">
        <is>
          <t>Same pot. Confirmed by PBO in the 2026-08-26 meeting.</t>
        </is>
      </c>
      <c r="I2" s="10" t="inlineStr">
        <is>
          <t>Engr. Cruz</t>
        </is>
      </c>
      <c r="J2" s="10" t="inlineStr">
        <is>
          <t>2026-08-26</t>
        </is>
      </c>
      <c r="K2" s="10" t="inlineStr">
        <is>
          <t>Answered</t>
        </is>
      </c>
      <c r="L2" s="10" t="inlineStr">
        <is>
          <t>Review §x.x</t>
        </is>
      </c>
      <c r="M2" s="19" t="n"/>
    </row>
    <row r="3" hidden="1" ht="243.6" customHeight="1">
      <c r="A3" s="11" t="inlineStr">
        <is>
          <t>A1</t>
        </is>
      </c>
      <c r="B3" s="12" t="inlineStr">
        <is>
          <t>A. PBO</t>
        </is>
      </c>
      <c r="C3" s="13" t="inlineStr">
        <is>
          <t>Does the AIP draw from the same budget ceiling the WFP already uses, or its own separate one?</t>
        </is>
      </c>
      <c r="D3" s="13" t="inlineStr">
        <is>
          <t>PBO / PPDC</t>
        </is>
      </c>
      <c r="E3" s="14" t="inlineStr">
        <is>
          <t>Blocker</t>
        </is>
      </c>
      <c r="F3" s="13" t="inlineStr">
        <is>
          <t>The ledger design (Phase 2-3)</t>
        </is>
      </c>
      <c r="G3" s="13" t="inlineStr">
        <is>
          <t>Same pot: the allocation limits the AIP, and the WFP is then limited by its AIP activity only. Getting this wrong silently double-counts money, with no error message.</t>
        </is>
      </c>
      <c r="H3" s="15" t="inlineStr">
        <is>
          <t>By process. The AIP is created first then WFP
And based on our discussion, we will repurpose the allocation to be used for AIP preparation.
I think we could create new tables and fields for AIP. And not reuse the fields used by WFP. In the future, WFP itself will be updated because of our changes in AIP. so lets focus now in AIP</t>
        </is>
      </c>
      <c r="I3" s="15" t="inlineStr">
        <is>
          <t>Ralph, PPDC</t>
        </is>
      </c>
      <c r="J3" s="16" t="n">
        <v>46259</v>
      </c>
      <c r="K3" s="15" t="inlineStr">
        <is>
          <t>Answered</t>
        </is>
      </c>
      <c r="L3" s="13" t="inlineStr">
        <is>
          <t>Review §4.2 — DECISION A</t>
        </is>
      </c>
      <c r="M3" s="13" t="inlineStr">
        <is>
          <t>Example: office ceiling = ₱10,000,000. AIP plans an activity worth ₱6,000,000 against it. If WFP then checks its own spending against the full ₱10,000,000 again — instead of the ₱4,000,000 actually left — it can commit another ₱10,000,000 on top. Total committed: ₱16,000,000 against a ₱10,000,000 ceiling, with no error raised anywhere.</t>
        </is>
      </c>
    </row>
    <row r="4" hidden="1" ht="87" customHeight="1">
      <c r="A4" s="11" t="inlineStr">
        <is>
          <t>A3</t>
        </is>
      </c>
      <c r="B4" s="12" t="inlineStr">
        <is>
          <t>A. PBO</t>
        </is>
      </c>
      <c r="C4" s="13" t="inlineStr">
        <is>
          <t>Must the printed rows add up exactly to the printed total? Because everything rounds up, the gap is one-directional: ~25 thousand over 50 rows, ~250 thousand over 500.</t>
        </is>
      </c>
      <c r="D4" s="13" t="inlineStr">
        <is>
          <t>PBO</t>
        </is>
      </c>
      <c r="E4" s="14" t="inlineStr">
        <is>
          <t>Blocker</t>
        </is>
      </c>
      <c r="F4" s="13" t="inlineStr">
        <is>
          <t>Every report in Phase 5</t>
        </is>
      </c>
      <c r="G4" s="13" t="inlineStr">
        <is>
          <t>Round each row first, then add the rounded rows for every subtotal and total. Exact centavos stay in the database.</t>
        </is>
      </c>
      <c r="H4" s="15" t="inlineStr">
        <is>
          <t>Sum using Rounded Value</t>
        </is>
      </c>
      <c r="I4" s="15" t="inlineStr">
        <is>
          <t>Ralph, PPDC</t>
        </is>
      </c>
      <c r="J4" s="16" t="n">
        <v>46259</v>
      </c>
      <c r="K4" s="15" t="inlineStr">
        <is>
          <t>Answered</t>
        </is>
      </c>
      <c r="L4" s="13" t="inlineStr">
        <is>
          <t>Review §8.3 — DECISION 9</t>
        </is>
      </c>
      <c r="M4" s="13" t="inlineStr">
        <is>
          <t>Example: each of 50 line items rounds up by as much as ₱499.99 to the next thousand. Worst case, the printed total drifts about ₱25,000 above the true sum. Over 500 rows, about ₱250,000 above.</t>
        </is>
      </c>
    </row>
    <row r="5" hidden="1" ht="87" customHeight="1">
      <c r="A5" s="11" t="inlineStr">
        <is>
          <t>B1</t>
        </is>
      </c>
      <c r="B5" s="12" t="inlineStr">
        <is>
          <t>B. PPDC</t>
        </is>
      </c>
      <c r="C5" s="13" t="inlineStr">
        <is>
          <t>Can a reviewer send work back for correction, and can they leave comments? If comments — on the whole submission, or on a specific program / project / activity / expense line?</t>
        </is>
      </c>
      <c r="D5" s="13" t="inlineStr">
        <is>
          <t>PPDC</t>
        </is>
      </c>
      <c r="E5" s="14" t="inlineStr">
        <is>
          <t>Blocker</t>
        </is>
      </c>
      <c r="F5" s="13" t="inlineStr">
        <is>
          <t>All of Phase 4</t>
        </is>
      </c>
      <c r="G5" s="13" t="inlineStr">
        <is>
          <t>Worth deciding deliberately rather than by default: per-item comments are far more useful to the encoder, and a fair bit more work to build.</t>
        </is>
      </c>
      <c r="H5" s="15" t="inlineStr">
        <is>
          <t>During Dept Head review, the Dept Head user can edit value or comment as a whole, in specific program, or project, or activity.</t>
        </is>
      </c>
      <c r="I5" s="15" t="inlineStr">
        <is>
          <t>Ralph, PPDC</t>
        </is>
      </c>
      <c r="J5" s="16" t="n">
        <v>46259</v>
      </c>
      <c r="K5" s="15" t="inlineStr">
        <is>
          <t>Answered</t>
        </is>
      </c>
      <c r="L5" s="13" t="inlineStr">
        <is>
          <t>Review §5.3 — DECISION 10</t>
        </is>
      </c>
      <c r="M5" s="13" t="n"/>
    </row>
    <row r="6" hidden="1" ht="52.2" customHeight="1">
      <c r="A6" s="11" t="inlineStr">
        <is>
          <t>B2</t>
        </is>
      </c>
      <c r="B6" s="12" t="inlineStr">
        <is>
          <t>B. PPDC</t>
        </is>
      </c>
      <c r="C6" s="13" t="inlineStr">
        <is>
          <t>Can an office add a program that is not in the LDIP — themselves, with approval, or is the LDIP a closed list?</t>
        </is>
      </c>
      <c r="D6" s="13" t="inlineStr">
        <is>
          <t>PPDC</t>
        </is>
      </c>
      <c r="E6" s="14" t="inlineStr">
        <is>
          <t>Blocker</t>
        </is>
      </c>
      <c r="F6" s="13" t="inlineStr">
        <is>
          <t>Phase 3 entry UI</t>
        </is>
      </c>
      <c r="G6" s="13" t="n"/>
      <c r="H6" s="15" t="inlineStr">
        <is>
          <t>No, they will follow the programs from the LDIP</t>
        </is>
      </c>
      <c r="I6" s="15" t="inlineStr">
        <is>
          <t>Ralph, PPDC</t>
        </is>
      </c>
      <c r="J6" s="16" t="n">
        <v>46259</v>
      </c>
      <c r="K6" s="15" t="inlineStr">
        <is>
          <t>Answered</t>
        </is>
      </c>
      <c r="L6" s="13" t="inlineStr">
        <is>
          <t>Review §5.5 — DECISION 5</t>
        </is>
      </c>
      <c r="M6" s="13" t="n"/>
    </row>
    <row r="7" hidden="1" ht="69.59999999999999" customHeight="1">
      <c r="A7" s="11" t="inlineStr">
        <is>
          <t>D1</t>
        </is>
      </c>
      <c r="B7" s="12" t="inlineStr">
        <is>
          <t>D. Ralph</t>
        </is>
      </c>
      <c r="C7" s="13" t="inlineStr">
        <is>
          <t>Does PPDO become a real office row with an IsPpdo flag, or stay identified by OfficeId == null? Today it is BOTH that and a hardcoded "PPDO" office code — two mechanisms for one idea.</t>
        </is>
      </c>
      <c r="D7" s="13" t="inlineStr">
        <is>
          <t>Ralph</t>
        </is>
      </c>
      <c r="E7" s="14" t="inlineStr">
        <is>
          <t>Blocker</t>
        </is>
      </c>
      <c r="F7" s="13" t="inlineStr">
        <is>
          <t>Every scope check + AIP ownership — must land BEFORE Phase 2</t>
        </is>
      </c>
      <c r="G7" s="13" t="inlineStr">
        <is>
          <t>Cheap to change now, a data migration through every permission check afterwards. No other open question has that shape.</t>
        </is>
      </c>
      <c r="H7" s="15" t="inlineStr">
        <is>
          <t>Full change, not just the flag — and it is now BUILT</t>
        </is>
      </c>
      <c r="I7" s="15" t="inlineStr">
        <is>
          <t>Ralph</t>
        </is>
      </c>
      <c r="J7" s="16" t="n">
        <v>46259</v>
      </c>
      <c r="K7" s="10" t="inlineStr">
        <is>
          <t>Answered</t>
        </is>
      </c>
      <c r="L7" s="13" t="inlineStr">
        <is>
          <t>Phase_Plan §3.1 — DECISION F</t>
        </is>
      </c>
      <c r="M7" s="13" t="n"/>
    </row>
    <row r="8" hidden="1" ht="52.2" customHeight="1">
      <c r="A8" s="13" t="inlineStr">
        <is>
          <t>A2-2</t>
        </is>
      </c>
      <c r="B8" s="12" t="inlineStr">
        <is>
          <t>A. PBO</t>
        </is>
      </c>
      <c r="C8" s="13" t="inlineStr">
        <is>
          <t>Any amount under ₱1,000 prints as 1 (₱500 shows as "1"). Confirming nobody is surprised.</t>
        </is>
      </c>
      <c r="D8" s="13" t="inlineStr">
        <is>
          <t>PBO</t>
        </is>
      </c>
      <c r="E8" s="17" t="inlineStr">
        <is>
          <t>Confirm</t>
        </is>
      </c>
      <c r="F8" s="13" t="inlineStr">
        <is>
          <t>Report display</t>
        </is>
      </c>
      <c r="G8" s="13" t="inlineStr">
        <is>
          <t>Keep — consistent with the rule never understating a requirement.</t>
        </is>
      </c>
      <c r="H8" s="15" t="inlineStr">
        <is>
          <t>Yes</t>
        </is>
      </c>
      <c r="I8" s="15" t="inlineStr">
        <is>
          <t>Ralph, PPDC</t>
        </is>
      </c>
      <c r="J8" s="16" t="n">
        <v>46259</v>
      </c>
      <c r="K8" s="15" t="inlineStr">
        <is>
          <t>Answered</t>
        </is>
      </c>
      <c r="L8" s="13" t="inlineStr">
        <is>
          <t>Review §8.2b ②</t>
        </is>
      </c>
      <c r="M8" s="13" t="inlineStr">
        <is>
          <t>Example: a ₱500 line item shows as "1" (thousand) on the printed report, not "0." Confirming that is intended.</t>
        </is>
      </c>
    </row>
    <row r="9" hidden="1" ht="104.4" customHeight="1">
      <c r="A9" s="13" t="inlineStr">
        <is>
          <t>A2-3</t>
        </is>
      </c>
      <c r="B9" s="12" t="inlineStr">
        <is>
          <t>A. PBO</t>
        </is>
      </c>
      <c r="C9" s="13" t="inlineStr">
        <is>
          <t>Are there ever negative amounts — e.g. an amendment or supplemental budget where a realignment reduces a line?</t>
        </is>
      </c>
      <c r="D9" s="13" t="inlineStr">
        <is>
          <t>PBO</t>
        </is>
      </c>
      <c r="E9" s="17" t="inlineStr">
        <is>
          <t>Confirm</t>
        </is>
      </c>
      <c r="F9" s="13" t="inlineStr">
        <is>
          <t>The rounding rule</t>
        </is>
      </c>
      <c r="G9" s="13" t="inlineStr">
        <is>
          <t>If yes, "round up" must mean round the SIZE up (−1,234,200 → −1,235), not literally upward, which would shrink the deduction.</t>
        </is>
      </c>
      <c r="H9" s="15" t="inlineStr">
        <is>
          <t>No negative values</t>
        </is>
      </c>
      <c r="I9" s="15" t="inlineStr">
        <is>
          <t>Ralph, PPDC</t>
        </is>
      </c>
      <c r="J9" s="16" t="n">
        <v>46259</v>
      </c>
      <c r="K9" s="15" t="inlineStr">
        <is>
          <t>Answered</t>
        </is>
      </c>
      <c r="L9" s="13" t="inlineStr">
        <is>
          <t>Review §8.2b ③</t>
        </is>
      </c>
      <c r="M9" s="13" t="inlineStr">
        <is>
          <t>Example: a realignment cuts a line by ₱1,234,200 (i.e. −1,234.2 thousand). Rounding "up" toward zero gives −1,234 (understates the cut by ₱200). Rounding the size up instead gives −1,235 (never understates it).</t>
        </is>
      </c>
    </row>
    <row r="10" hidden="1" ht="104.4" customHeight="1">
      <c r="A10" s="13" t="inlineStr">
        <is>
          <t>A2-5</t>
        </is>
      </c>
      <c r="B10" s="12" t="inlineStr">
        <is>
          <t>A. PBO</t>
        </is>
      </c>
      <c r="C10" s="13" t="inlineStr">
        <is>
          <t>In the Excel export, do the cells hold the rounded thousands or the exact pesos?</t>
        </is>
      </c>
      <c r="D10" s="13" t="inlineStr">
        <is>
          <t>PBO</t>
        </is>
      </c>
      <c r="E10" s="17" t="inlineStr">
        <is>
          <t>Confirm</t>
        </is>
      </c>
      <c r="F10" s="13" t="inlineStr">
        <is>
          <t>Excel export</t>
        </is>
      </c>
      <c r="G10" s="13" t="inlineStr">
        <is>
          <t>Rounded thousands, as real numbers — so re-summing a column in Excel gives exactly the printed total.</t>
        </is>
      </c>
      <c r="H10" s="15" t="inlineStr">
        <is>
          <t>Rounded thousands</t>
        </is>
      </c>
      <c r="I10" s="15" t="inlineStr">
        <is>
          <t>Ralph, PPDC</t>
        </is>
      </c>
      <c r="J10" s="16" t="n">
        <v>46259</v>
      </c>
      <c r="K10" s="15" t="inlineStr">
        <is>
          <t>Answered</t>
        </is>
      </c>
      <c r="L10" s="13" t="inlineStr">
        <is>
          <t>Review §8.2b ⑤</t>
        </is>
      </c>
      <c r="M10" s="13" t="inlineStr">
        <is>
          <t>Example: a line is ₱5,999,650.32 exactly. Should the Excel cell hold 6,000 (rounded thousands, so summing 10 such cells in Excel reproduces the printed total) or 5,999,650.32 (exact, which may not match the printed report if the reader adds it up)?</t>
        </is>
      </c>
    </row>
    <row r="11" hidden="1" ht="52.2" customHeight="1">
      <c r="A11" s="13" t="inlineStr">
        <is>
          <t>A6-1</t>
        </is>
      </c>
      <c r="B11" s="12" t="inlineStr">
        <is>
          <t>A. PBO</t>
        </is>
      </c>
      <c r="C11" s="13" t="inlineStr">
        <is>
          <t>Confirm: only the General Fund has a ceiling. GAD, 20% DF, LDRRF and Trust Fund have none.</t>
        </is>
      </c>
      <c r="D11" s="13" t="inlineStr">
        <is>
          <t>PBO</t>
        </is>
      </c>
      <c r="E11" s="17" t="inlineStr">
        <is>
          <t>Confirm</t>
        </is>
      </c>
      <c r="F11" s="13" t="inlineStr">
        <is>
          <t>The ceiling rule</t>
        </is>
      </c>
      <c r="G11" s="13" t="inlineStr">
        <is>
          <t>Understood as correct — verifying.</t>
        </is>
      </c>
      <c r="H11" s="15" t="inlineStr">
        <is>
          <t>⚠️ SUPERSEDED 2026-08-26 — reverted to GENERAL FUND ONLY (tracker A1-b / A6-4, confirmed by Ralph). The 2026-08-14 decision stands and the GAD / 20% DF / LDRRF / Trust exemption list is NOT void.
Answer as given 2026-08-25: "No, we will now put ceiling to the other fund source. Same with WFP allocation before".</t>
        </is>
      </c>
      <c r="I11" s="15" t="inlineStr">
        <is>
          <t>Ralph, PPDC</t>
        </is>
      </c>
      <c r="J11" s="16" t="n">
        <v>46260</v>
      </c>
      <c r="K11" s="15" t="inlineStr">
        <is>
          <t>Answered</t>
        </is>
      </c>
      <c r="L11" s="13" t="inlineStr">
        <is>
          <t>Review §0.1</t>
        </is>
      </c>
      <c r="M11" s="13" t="inlineStr">
        <is>
          <t>Example: a ₱2,000,000 GAD-fund expense triggers no ceiling check; a ₱2,000,000 General Fund expense does. Confirming.</t>
        </is>
      </c>
    </row>
    <row r="12" hidden="1" ht="69.59999999999999" customHeight="1">
      <c r="A12" s="13" t="inlineStr">
        <is>
          <t>A6-2</t>
        </is>
      </c>
      <c r="B12" s="12" t="inlineStr">
        <is>
          <t>A. PBO</t>
        </is>
      </c>
      <c r="C12" s="13" t="inlineStr">
        <is>
          <t>Confirm: Personal Services is excluded from the ceiling even when it is General Fund — so a part-PS, part-MOOE expense only counts its MOOE part.</t>
        </is>
      </c>
      <c r="D12" s="13" t="inlineStr">
        <is>
          <t>PBO</t>
        </is>
      </c>
      <c r="E12" s="17" t="inlineStr">
        <is>
          <t>Confirm</t>
        </is>
      </c>
      <c r="F12" s="13" t="inlineStr">
        <is>
          <t>The ceiling rule</t>
        </is>
      </c>
      <c r="G12" s="13" t="inlineStr">
        <is>
          <t>Understood as correct — verifying.</t>
        </is>
      </c>
      <c r="H12" s="15" t="inlineStr">
        <is>
          <t>Yes, PS will be treated as separate from GF</t>
        </is>
      </c>
      <c r="I12" s="15" t="inlineStr">
        <is>
          <t>Ralph, PPDC</t>
        </is>
      </c>
      <c r="J12" s="16" t="n">
        <v>46259</v>
      </c>
      <c r="K12" s="15" t="inlineStr">
        <is>
          <t>Answered</t>
        </is>
      </c>
      <c r="L12" s="13" t="inlineStr">
        <is>
          <t>Review §0.1</t>
        </is>
      </c>
      <c r="M12" s="13" t="inlineStr">
        <is>
          <t>Example: a ₱500,000 General Fund line split into ₱300,000 PS + ₱200,000 MOOE — only the ₱200,000 MOOE portion counts against the ceiling, not the full ₱500,000. Confirming.</t>
        </is>
      </c>
    </row>
    <row r="13" hidden="1" ht="121.8" customHeight="1">
      <c r="A13" s="13" t="inlineStr">
        <is>
          <t>A6-3</t>
        </is>
      </c>
      <c r="B13" s="12" t="inlineStr">
        <is>
          <t>A. PBO</t>
        </is>
      </c>
      <c r="C13" s="13" t="inlineStr">
        <is>
          <t>Confirm: amounts are entered in full pesos (1,234,567.89) and only DISPLAYED in thousands.</t>
        </is>
      </c>
      <c r="D13" s="13" t="inlineStr">
        <is>
          <t>PBO</t>
        </is>
      </c>
      <c r="E13" s="17" t="inlineStr">
        <is>
          <t>Confirm</t>
        </is>
      </c>
      <c r="F13" s="13" t="inlineStr">
        <is>
          <t>Storage units</t>
        </is>
      </c>
      <c r="G13" s="13" t="inlineStr">
        <is>
          <t>Understood as correct — verifying. See also D2.  [2026-08-25] D2 has now been decided on exactly this model — store full pesos, display thousands, all fiscal years. PBO confirming this row would corroborate it from the finance side.</t>
        </is>
      </c>
      <c r="H13" s="15" t="inlineStr">
        <is>
          <t>Yes</t>
        </is>
      </c>
      <c r="I13" s="15" t="inlineStr">
        <is>
          <t>Ralph</t>
        </is>
      </c>
      <c r="J13" s="16" t="n">
        <v>46259</v>
      </c>
      <c r="K13" s="15" t="inlineStr">
        <is>
          <t>Answered</t>
        </is>
      </c>
      <c r="L13" s="13" t="inlineStr">
        <is>
          <t>Review §8.0</t>
        </is>
      </c>
      <c r="M13" s="13" t="inlineStr">
        <is>
          <t>Example: a user enters ₱1,234,567.89 exactly. It is stored as 1234567.89 in the database, and the printed report shows 1,235 under an "Amount (in ₱000)" header. Confirming that is the model throughout.</t>
        </is>
      </c>
    </row>
    <row r="14" hidden="1" ht="52.2" customHeight="1">
      <c r="A14" s="13" t="inlineStr">
        <is>
          <t>B4-c</t>
        </is>
      </c>
      <c r="B14" s="12" t="inlineStr">
        <is>
          <t>B. PPDC</t>
        </is>
      </c>
      <c r="C14" s="13" t="inlineStr">
        <is>
          <t>One reviewer per office, or several?</t>
        </is>
      </c>
      <c r="D14" s="13" t="inlineStr">
        <is>
          <t>PPDC</t>
        </is>
      </c>
      <c r="E14" s="17" t="inlineStr">
        <is>
          <t>Confirm</t>
        </is>
      </c>
      <c r="F14" s="13" t="inlineStr">
        <is>
          <t>The permission model</t>
        </is>
      </c>
      <c r="G14" s="13" t="inlineStr">
        <is>
          <t>The per-user flag supports several. If exactly one is required, that constraint has to be built deliberately.</t>
        </is>
      </c>
      <c r="H14" s="15" t="inlineStr">
        <is>
          <t>1 reviewer per office</t>
        </is>
      </c>
      <c r="I14" s="15" t="inlineStr">
        <is>
          <t>Ralph, PPDC</t>
        </is>
      </c>
      <c r="J14" s="16" t="n">
        <v>46259</v>
      </c>
      <c r="K14" s="15" t="inlineStr">
        <is>
          <t>Answered</t>
        </is>
      </c>
      <c r="L14" s="13" t="inlineStr">
        <is>
          <t>Findings §6.4</t>
        </is>
      </c>
      <c r="M14" s="13" t="n"/>
    </row>
    <row r="15" hidden="1" ht="52.2" customHeight="1">
      <c r="A15" s="13" t="inlineStr">
        <is>
          <t>B8</t>
        </is>
      </c>
      <c r="B15" s="12" t="inlineStr">
        <is>
          <t>B. PPDC</t>
        </is>
      </c>
      <c r="C15" s="13" t="inlineStr">
        <is>
          <t>On the whiteboard, what was the "₱5M" next to Program/Project — a threshold, a ceiling, or just an example figure?</t>
        </is>
      </c>
      <c r="D15" s="13" t="inlineStr">
        <is>
          <t>PPDC</t>
        </is>
      </c>
      <c r="E15" s="17" t="inlineStr">
        <is>
          <t>Confirm</t>
        </is>
      </c>
      <c r="F15" s="13" t="inlineStr">
        <is>
          <t>Entry rules</t>
        </is>
      </c>
      <c r="G15" s="13" t="n"/>
      <c r="H15" s="15" t="inlineStr">
        <is>
          <t>lets ignore this one</t>
        </is>
      </c>
      <c r="I15" s="15" t="inlineStr">
        <is>
          <t>Ralph</t>
        </is>
      </c>
      <c r="J15" s="16" t="n">
        <v>46259</v>
      </c>
      <c r="K15" s="15" t="inlineStr">
        <is>
          <t>Answered</t>
        </is>
      </c>
      <c r="L15" s="13" t="inlineStr">
        <is>
          <t>Whiteboard W9</t>
        </is>
      </c>
      <c r="M15" s="13" t="n"/>
    </row>
    <row r="16" hidden="1" ht="52.2" customHeight="1">
      <c r="A16" s="13" t="inlineStr">
        <is>
          <t>D3</t>
        </is>
      </c>
      <c r="B16" s="12" t="inlineStr">
        <is>
          <t>D. Ralph</t>
        </is>
      </c>
      <c r="C16" s="13" t="inlineStr">
        <is>
          <t>Is the printable AIP the same official form layout the .xlsm upload already reads (GENERAL / SOCIAL / ECONOMIC / OTHERS sheets)?</t>
        </is>
      </c>
      <c r="D16" s="13" t="inlineStr">
        <is>
          <t>Ralph</t>
        </is>
      </c>
      <c r="E16" s="17" t="inlineStr">
        <is>
          <t>Confirm</t>
        </is>
      </c>
      <c r="F16" s="13" t="inlineStr">
        <is>
          <t>Phase 5 printable form</t>
        </is>
      </c>
      <c r="G16" s="13" t="inlineStr">
        <is>
          <t>If yes, the printable version can be built from the importer's structure rather than reverse-engineered.</t>
        </is>
      </c>
      <c r="H16" s="15" t="inlineStr">
        <is>
          <t>Yes</t>
        </is>
      </c>
      <c r="I16" s="15" t="inlineStr">
        <is>
          <t>Ralph</t>
        </is>
      </c>
      <c r="J16" s="16" t="n">
        <v>46259</v>
      </c>
      <c r="K16" s="10" t="inlineStr">
        <is>
          <t>Answered</t>
        </is>
      </c>
      <c r="L16" s="13" t="inlineStr">
        <is>
          <t>Review §9.1</t>
        </is>
      </c>
      <c r="M16" s="13" t="n"/>
    </row>
    <row r="17" hidden="1" ht="52.2" customHeight="1">
      <c r="A17" s="13" t="inlineStr">
        <is>
          <t>D5</t>
        </is>
      </c>
      <c r="B17" s="12" t="inlineStr">
        <is>
          <t>D. Ralph</t>
        </is>
      </c>
      <c r="C17" s="13" t="inlineStr">
        <is>
          <t>One encoder per office, or could two people encode the same office's AIP at the same time?</t>
        </is>
      </c>
      <c r="D17" s="13" t="inlineStr">
        <is>
          <t>Ralph</t>
        </is>
      </c>
      <c r="E17" s="17" t="inlineStr">
        <is>
          <t>Confirm</t>
        </is>
      </c>
      <c r="F17" s="13" t="inlineStr">
        <is>
          <t>Concurrency guard</t>
        </is>
      </c>
      <c r="G17" s="13" t="inlineStr">
        <is>
          <t>If two, we need a rule for editing the same activity — today the last save silently wins.</t>
        </is>
      </c>
      <c r="H17" s="15" t="inlineStr">
        <is>
          <t>It Could be 2 or more</t>
        </is>
      </c>
      <c r="I17" s="15" t="inlineStr">
        <is>
          <t>Ralph</t>
        </is>
      </c>
      <c r="J17" s="16" t="n">
        <v>46259</v>
      </c>
      <c r="K17" s="10" t="inlineStr">
        <is>
          <t>Answered</t>
        </is>
      </c>
      <c r="L17" s="13" t="inlineStr">
        <is>
          <t>Review §9.8</t>
        </is>
      </c>
      <c r="M17" s="13" t="n"/>
    </row>
    <row r="18" hidden="1" ht="174" customHeight="1">
      <c r="A18" s="13" t="inlineStr">
        <is>
          <t>A2-1</t>
        </is>
      </c>
      <c r="B18" s="12" t="inlineStr">
        <is>
          <t>A. PBO</t>
        </is>
      </c>
      <c r="C18" s="13" t="inlineStr">
        <is>
          <t>Rounding: the PS / MOOE / CO / Total row will not balance across once each column is rounded up (up to 2 thousand out, on every printed line). How should it be presented?</t>
        </is>
      </c>
      <c r="D18" s="13" t="inlineStr">
        <is>
          <t>PBO</t>
        </is>
      </c>
      <c r="E18" s="18" t="inlineStr">
        <is>
          <t>High</t>
        </is>
      </c>
      <c r="F18" s="13" t="inlineStr">
        <is>
          <t>Every printed AIP line</t>
        </is>
      </c>
      <c r="G18" s="13" t="inlineStr">
        <is>
          <t>Make the row total the sum of the rounded components (101+201+301 = 603, not 601).</t>
        </is>
      </c>
      <c r="H18" s="15" t="inlineStr">
        <is>
          <t>compute the total using the rounded value</t>
        </is>
      </c>
      <c r="I18" s="15" t="inlineStr">
        <is>
          <t>Ralph, PPDC</t>
        </is>
      </c>
      <c r="J18" s="16" t="n">
        <v>46259</v>
      </c>
      <c r="K18" s="15" t="inlineStr">
        <is>
          <t>Answered</t>
        </is>
      </c>
      <c r="L18" s="13" t="inlineStr">
        <is>
          <t>Review §8.2b ①</t>
        </is>
      </c>
      <c r="M18" s="13" t="inlineStr">
        <is>
          <t>Example: PS = ₱100,400 rounds up to 101 (thousand). MOOE = ₱200,300 rounds up to 201. CO = ₱300,200 rounds up to 301. The three rounded parts sum to 603, but the exact total (₱601,900) rounds up to only 602 on its own. Recommendation: make the printed Total equal the sum of the already-rounded PS/MOOE/CO (603), not a separately-rounded grand total (602), so the row visibly adds up.</t>
        </is>
      </c>
    </row>
    <row r="19" hidden="1" ht="139.2" customHeight="1">
      <c r="A19" s="13" t="inlineStr">
        <is>
          <t>A2-4</t>
        </is>
      </c>
      <c r="B19" s="12" t="inlineStr">
        <is>
          <t>A. PBO</t>
        </is>
      </c>
      <c r="C19" s="13" t="inlineStr">
        <is>
          <t>Is the ceiling checked against the rounded figures or the exact ones? They can disagree — ₱49,999,600 exact is inside a ₱50M ceiling, but the printed AIP could read ₱50,020,000.</t>
        </is>
      </c>
      <c r="D19" s="13" t="inlineStr">
        <is>
          <t>PBO</t>
        </is>
      </c>
      <c r="E19" s="18" t="inlineStr">
        <is>
          <t>High</t>
        </is>
      </c>
      <c r="F19" s="13" t="inlineStr">
        <is>
          <t>Ceiling validation</t>
        </is>
      </c>
      <c r="G19" s="13" t="inlineStr">
        <is>
          <t>Enforce on the same rounded figures the document prints, so the system and the paper can never disagree.</t>
        </is>
      </c>
      <c r="H19" s="15" t="inlineStr">
        <is>
          <t>ceiling is compared to the rounded value</t>
        </is>
      </c>
      <c r="I19" s="15" t="inlineStr">
        <is>
          <t>Ralph, PPDC</t>
        </is>
      </c>
      <c r="J19" s="16" t="n">
        <v>46259</v>
      </c>
      <c r="K19" s="15" t="inlineStr">
        <is>
          <t>Answered</t>
        </is>
      </c>
      <c r="L19" s="13" t="inlineStr">
        <is>
          <t>Review §8.2b ④</t>
        </is>
      </c>
      <c r="M19" s="13" t="inlineStr">
        <is>
          <t>Example: exact total = ₱49,999,600 — under a ₱50,000,000 ceiling, so it should pass. But once each of, say, 50 lines is rounded up for printing, the printed document reads ₱50,020,000 — over the ceiling on paper. Which number should govern the pass/fail: the exact ₱49,999,600, or the printed ₱50,020,000?</t>
        </is>
      </c>
    </row>
    <row r="20" hidden="1" ht="104.4" customHeight="1">
      <c r="A20" s="13" t="inlineStr">
        <is>
          <t>A4</t>
        </is>
      </c>
      <c r="B20" s="12" t="inlineStr">
        <is>
          <t>A. PBO</t>
        </is>
      </c>
      <c r="C20" s="13" t="inlineStr">
        <is>
          <t>Should going over the ceiling BLOCK saving or only WARN — and at the moment the user types it, or only when they submit the whole AIP?</t>
        </is>
      </c>
      <c r="D20" s="13" t="inlineStr">
        <is>
          <t>PBO</t>
        </is>
      </c>
      <c r="E20" s="18" t="inlineStr">
        <is>
          <t>High</t>
        </is>
      </c>
      <c r="F20" s="13" t="inlineStr">
        <is>
          <t>Phase 3 entry + Phase 6 offline</t>
        </is>
      </c>
      <c r="G20" s="13" t="inlineStr">
        <is>
          <t>Block at submit: friendlier for a document built over weeks, and close to necessary if people work offline.</t>
        </is>
      </c>
      <c r="H20" s="15" t="inlineStr">
        <is>
          <t>block at submit, since this should be discussed or adjusted</t>
        </is>
      </c>
      <c r="I20" s="15" t="inlineStr">
        <is>
          <t>Ralph</t>
        </is>
      </c>
      <c r="J20" s="16" t="n">
        <v>46259</v>
      </c>
      <c r="K20" s="15" t="inlineStr">
        <is>
          <t>Answered</t>
        </is>
      </c>
      <c r="L20" s="13" t="inlineStr">
        <is>
          <t>Review §4.4 — DECISION C</t>
        </is>
      </c>
      <c r="M20" s="13" t="inlineStr">
        <is>
          <t>Example: an office has ₱500,000 of ceiling room left and types in a new line worth ₱2,000,000. Does the system stop that entry the moment it is saved, or let the office keep encoding the rest of a ₱50,000,000 AIP and only flag the problem when they hit Submit?</t>
        </is>
      </c>
    </row>
    <row r="21" hidden="1" ht="191.4" customHeight="1">
      <c r="A21" s="13" t="inlineStr">
        <is>
          <t>A5</t>
        </is>
      </c>
      <c r="B21" s="12" t="inlineStr">
        <is>
          <t>A. PBO</t>
        </is>
      </c>
      <c r="C21" s="13" t="inlineStr">
        <is>
          <t>Must the division allocations add up to the office's ceiling, or can they be less? And what happens if PBO lowers an office's ceiling AFTER it has allocated and encoded against it?</t>
        </is>
      </c>
      <c r="D21" s="13" t="inlineStr">
        <is>
          <t>PBO</t>
        </is>
      </c>
      <c r="E21" s="18" t="inlineStr">
        <is>
          <t>High</t>
        </is>
      </c>
      <c r="F21" s="13" t="inlineStr">
        <is>
          <t>The Allocation page</t>
        </is>
      </c>
      <c r="G21" s="13" t="n"/>
      <c r="H21" s="15" t="inlineStr">
        <is>
          <t>They can be less</t>
        </is>
      </c>
      <c r="I21" s="15" t="inlineStr">
        <is>
          <t>Ralph</t>
        </is>
      </c>
      <c r="J21" s="16" t="n">
        <v>46259</v>
      </c>
      <c r="K21" s="15" t="inlineStr">
        <is>
          <t>Answered</t>
        </is>
      </c>
      <c r="L21" s="13" t="inlineStr">
        <is>
          <t>Review §4.4 — DECISION D</t>
        </is>
      </c>
      <c r="M21" s="13" t="inlineStr">
        <is>
          <t>Example (part 1): office ceiling = ₱10,000,000. Division A is allocated ₱4,000,000, Division B ₱3,000,000 — ₱7,000,000 total, ₱3,000,000 unallocated. Is that fine, or must allocations total the full ₱10,000,000? Example (part 2): Divisions A and B have already encoded ₱4,000,000 and ₱3,000,000 respectively when PBO cuts the office ceiling to ₱6,000,000. The office is now ₱1,000,000 over a ceiling that did not exist when they encoded. What happens to that work?</t>
        </is>
      </c>
    </row>
    <row r="22" hidden="1" ht="139.2" customHeight="1">
      <c r="A22" s="13" t="inlineStr">
        <is>
          <t>B3</t>
        </is>
      </c>
      <c r="B22" s="12" t="inlineStr">
        <is>
          <t>B. PPDC</t>
        </is>
      </c>
      <c r="C22" s="13" t="inlineStr">
        <is>
          <t>Once submitted, is the work locked — to the encoder only, or to everyone including the reviewer? Can the reviewer edit figures? On re-submit, does the reviewer see what changed?</t>
        </is>
      </c>
      <c r="D22" s="13" t="inlineStr">
        <is>
          <t>PPDC</t>
        </is>
      </c>
      <c r="E22" s="18" t="inlineStr">
        <is>
          <t>High</t>
        </is>
      </c>
      <c r="F22" s="13" t="inlineStr">
        <is>
          <t>Phase 4 workflow</t>
        </is>
      </c>
      <c r="G22" s="13" t="n"/>
      <c r="H22" s="15" t="inlineStr">
        <is>
          <t>At dept head review: editable by encoder and reviewer.
When submitted to PPDO, the work will be locked, and can be edited again when returned by PPDO reviewers</t>
        </is>
      </c>
      <c r="I22" s="15" t="inlineStr">
        <is>
          <t>Ralph, PPDC</t>
        </is>
      </c>
      <c r="J22" s="16" t="n">
        <v>46259</v>
      </c>
      <c r="K22" s="15" t="inlineStr">
        <is>
          <t>Answered</t>
        </is>
      </c>
      <c r="L22" s="13" t="inlineStr">
        <is>
          <t>Whiteboard W4 / Review §5.3</t>
        </is>
      </c>
      <c r="M22" s="13" t="n"/>
    </row>
    <row r="23" hidden="1" ht="69.59999999999999" customHeight="1">
      <c r="A23" s="13" t="inlineStr">
        <is>
          <t>B4</t>
        </is>
      </c>
      <c r="B23" s="12" t="inlineStr">
        <is>
          <t>B. PPDC</t>
        </is>
      </c>
      <c r="C23" s="13" t="inlineStr">
        <is>
          <t>Is PPDO's own internal review a real approval gate — PPDO's divisions cannot reach the consolidated document without it — or just a view?</t>
        </is>
      </c>
      <c r="D23" s="13" t="inlineStr">
        <is>
          <t>PPDC</t>
        </is>
      </c>
      <c r="E23" s="18" t="inlineStr">
        <is>
          <t>High</t>
        </is>
      </c>
      <c r="F23" s="13" t="inlineStr">
        <is>
          <t>Phase 4 workflow</t>
        </is>
      </c>
      <c r="G23" s="13" t="n"/>
      <c r="H23" s="15" t="inlineStr">
        <is>
          <t>the division users will not be able to see the consolidated work. The reviewers are the only ones can</t>
        </is>
      </c>
      <c r="I23" s="15" t="inlineStr">
        <is>
          <t>Ralph</t>
        </is>
      </c>
      <c r="J23" s="16" t="n">
        <v>46259</v>
      </c>
      <c r="K23" s="15" t="inlineStr">
        <is>
          <t>Answered</t>
        </is>
      </c>
      <c r="L23" s="13" t="inlineStr">
        <is>
          <t>Findings §6.4</t>
        </is>
      </c>
      <c r="M23" s="13" t="n"/>
    </row>
    <row r="24" hidden="1" ht="69.59999999999999" customHeight="1">
      <c r="A24" s="13" t="inlineStr">
        <is>
          <t>B4-a</t>
        </is>
      </c>
      <c r="B24" s="12" t="inlineStr">
        <is>
          <t>B. PPDC</t>
        </is>
      </c>
      <c r="C24" s="13" t="inlineStr">
        <is>
          <t>What is "the consolidated work" concretely — a NEW provincial record assembled from submissions, or the existing multi-office record with offices filled in as they submit?</t>
        </is>
      </c>
      <c r="D24" s="13" t="inlineStr">
        <is>
          <t>PPDC</t>
        </is>
      </c>
      <c r="E24" s="18" t="inlineStr">
        <is>
          <t>High</t>
        </is>
      </c>
      <c r="F24" s="13" t="inlineStr">
        <is>
          <t>Phase 4 data model</t>
        </is>
      </c>
      <c r="G24" s="13" t="n"/>
      <c r="H24" s="15" t="inlineStr">
        <is>
          <t>the existing multi-office record with offices filled in as they submit</t>
        </is>
      </c>
      <c r="I24" s="15" t="inlineStr">
        <is>
          <t>Ralph</t>
        </is>
      </c>
      <c r="J24" s="16" t="n">
        <v>46259</v>
      </c>
      <c r="K24" s="15" t="inlineStr">
        <is>
          <t>Answered</t>
        </is>
      </c>
      <c r="L24" s="13" t="inlineStr">
        <is>
          <t>Findings §6.4</t>
        </is>
      </c>
      <c r="M24" s="13" t="n"/>
    </row>
    <row r="25" hidden="1" ht="52.2" customHeight="1">
      <c r="A25" s="13" t="inlineStr">
        <is>
          <t>B4-b</t>
        </is>
      </c>
      <c r="B25" s="12" t="inlineStr">
        <is>
          <t>B. PPDC</t>
        </is>
      </c>
      <c r="C25" s="13" t="inlineStr">
        <is>
          <t>Can PPDO consolidate partially, before every office has submitted?</t>
        </is>
      </c>
      <c r="D25" s="13" t="inlineStr">
        <is>
          <t>PPDC</t>
        </is>
      </c>
      <c r="E25" s="18" t="inlineStr">
        <is>
          <t>High</t>
        </is>
      </c>
      <c r="F25" s="13" t="inlineStr">
        <is>
          <t>Phase 4 workflow</t>
        </is>
      </c>
      <c r="G25" s="13" t="n"/>
      <c r="H25" s="15" t="inlineStr">
        <is>
          <t>PPDO reviewers can see or review the consolidated work so far</t>
        </is>
      </c>
      <c r="I25" s="15" t="inlineStr">
        <is>
          <t>Ralph</t>
        </is>
      </c>
      <c r="J25" s="16" t="n">
        <v>46259</v>
      </c>
      <c r="K25" s="15" t="inlineStr">
        <is>
          <t>Answered</t>
        </is>
      </c>
      <c r="L25" s="13" t="inlineStr">
        <is>
          <t>Findings §6.4</t>
        </is>
      </c>
      <c r="M25" s="13" t="n"/>
    </row>
    <row r="26" hidden="1" ht="121.8" customHeight="1">
      <c r="A26" s="13" t="inlineStr">
        <is>
          <t>B5</t>
        </is>
      </c>
      <c r="B26" s="12" t="inlineStr">
        <is>
          <t>B. PPDC</t>
        </is>
      </c>
      <c r="C26" s="13" t="inlineStr">
        <is>
          <t>When the LFC reviews, can they return ONE office's work, or only approve/return the consolidated document as a whole? If one office — does that office's reviewer submit again?</t>
        </is>
      </c>
      <c r="D26" s="13" t="inlineStr">
        <is>
          <t>PPDC</t>
        </is>
      </c>
      <c r="E26" s="18" t="inlineStr">
        <is>
          <t>High</t>
        </is>
      </c>
      <c r="F26" s="13" t="inlineStr">
        <is>
          <t>Phase 4 workflow</t>
        </is>
      </c>
      <c r="G26" s="13" t="n"/>
      <c r="H26" s="15" t="inlineStr">
        <is>
          <t>LFC will no longer reviewing. Certain PPDO users will be the reviewer, where they can comment and send back the whole work of an office for update and re-submit</t>
        </is>
      </c>
      <c r="I26" s="15" t="inlineStr">
        <is>
          <t>Ralph</t>
        </is>
      </c>
      <c r="J26" s="16" t="n">
        <v>46259</v>
      </c>
      <c r="K26" s="15" t="inlineStr">
        <is>
          <t>Answered</t>
        </is>
      </c>
      <c r="L26" s="13" t="inlineStr">
        <is>
          <t>Review §5.3</t>
        </is>
      </c>
      <c r="M26" s="13" t="n"/>
    </row>
    <row r="27" hidden="1" ht="69.59999999999999" customHeight="1">
      <c r="A27" s="13" t="inlineStr">
        <is>
          <t>B6</t>
        </is>
      </c>
      <c r="B27" s="12" t="inlineStr">
        <is>
          <t>B. PPDC</t>
        </is>
      </c>
      <c r="C27" s="13" t="inlineStr">
        <is>
          <t>Who are the LFC users — names, or at least a count? Note this is the first permission in the system that spans ALL offices; everyone else only ever sees their own.</t>
        </is>
      </c>
      <c r="D27" s="13" t="inlineStr">
        <is>
          <t>PPDC</t>
        </is>
      </c>
      <c r="E27" s="18" t="inlineStr">
        <is>
          <t>High</t>
        </is>
      </c>
      <c r="F27" s="13" t="inlineStr">
        <is>
          <t>Permission model (RAL-257)</t>
        </is>
      </c>
      <c r="G27" s="13" t="inlineStr">
        <is>
          <t>Worth confirming the cross-office visibility is intended: LFC users see every office's budget figures.</t>
        </is>
      </c>
      <c r="H27" s="15" t="inlineStr">
        <is>
          <t>LFC will no longer reviewing. Certain PPDO users will be the reviewer</t>
        </is>
      </c>
      <c r="I27" s="15" t="inlineStr">
        <is>
          <t>Ralph</t>
        </is>
      </c>
      <c r="J27" s="16" t="n">
        <v>46259</v>
      </c>
      <c r="K27" s="15" t="inlineStr">
        <is>
          <t>Answered</t>
        </is>
      </c>
      <c r="L27" s="13" t="inlineStr">
        <is>
          <t>Review §5.4</t>
        </is>
      </c>
      <c r="M27" s="13" t="n"/>
    </row>
    <row r="28" hidden="1" ht="87" customHeight="1">
      <c r="A28" s="13" t="inlineStr">
        <is>
          <t>B7</t>
        </is>
      </c>
      <c r="B28" s="12" t="inlineStr">
        <is>
          <t>B. PPDC</t>
        </is>
      </c>
      <c r="C28" s="13" t="inlineStr">
        <is>
          <t>Is there a submission deadline per fiscal year, after which offices can no longer submit — and a page showing which offices have submitted and which have not?</t>
        </is>
      </c>
      <c r="D28" s="13" t="inlineStr">
        <is>
          <t>PPDC</t>
        </is>
      </c>
      <c r="E28" s="18" t="inlineStr">
        <is>
          <t>High</t>
        </is>
      </c>
      <c r="F28" s="13" t="inlineStr">
        <is>
          <t>Phase 4 / §9.2</t>
        </is>
      </c>
      <c r="G28" s="13" t="inlineStr">
        <is>
          <t>Recommended: it is the only way to chase ~20 offices without doing it by hand.</t>
        </is>
      </c>
      <c r="H28" s="15" t="inlineStr">
        <is>
          <t>No deadline, the deadline will be communicated to the other offices. But lets document the history so we can track.</t>
        </is>
      </c>
      <c r="I28" s="15" t="inlineStr">
        <is>
          <t>Ralph</t>
        </is>
      </c>
      <c r="J28" s="16" t="n">
        <v>46259</v>
      </c>
      <c r="K28" s="15" t="inlineStr">
        <is>
          <t>Answered</t>
        </is>
      </c>
      <c r="L28" s="13" t="inlineStr">
        <is>
          <t>Review §9.2</t>
        </is>
      </c>
      <c r="M28" s="13" t="n"/>
    </row>
    <row r="29" ht="104.4" customHeight="1">
      <c r="A29" s="13" t="inlineStr">
        <is>
          <t>C1</t>
        </is>
      </c>
      <c r="B29" s="12" t="inlineStr">
        <is>
          <t>C. Data users</t>
        </is>
      </c>
      <c r="C29" s="13" t="inlineStr">
        <is>
          <t>What do you need out of the AIP, and in what form — which columns, Excel / CSV / a direct connection, and how often (once when approved, or refreshed continuously)?</t>
        </is>
      </c>
      <c r="D29" s="13" t="inlineStr">
        <is>
          <t>PBO, PACCO, PTO, GSO</t>
        </is>
      </c>
      <c r="E29" s="18" t="inlineStr">
        <is>
          <t>High</t>
        </is>
      </c>
      <c r="F29" s="13" t="inlineStr">
        <is>
          <t>Phase 5 outputs</t>
        </is>
      </c>
      <c r="G29" s="13" t="inlineStr">
        <is>
          <t>Ask for a FILLED-IN copy of whatever they use today, not a description. On the WFP export the "template" we were given turned out to be a filled sample, and the difference cost real time.
[2026-08-26] Ask PBO and GSO SEPARATELY. The WFP document is needed by PBO; GSO only built the system that generates it. The office that NEEDS the output and the office that MAKES the tool are different, and they may not give the same answer.
[2026-08-26] Same sequencing as C2: the new AIP structure comes first, then the conversation.</t>
        </is>
      </c>
      <c r="H29" s="15" t="n"/>
      <c r="I29" s="15" t="n"/>
      <c r="J29" s="16" t="n"/>
      <c r="K29" s="15" t="inlineStr">
        <is>
          <t>Open</t>
        </is>
      </c>
      <c r="L29" s="13" t="inlineStr">
        <is>
          <t>Review §7</t>
        </is>
      </c>
      <c r="M29" s="13" t="n"/>
    </row>
    <row r="30" ht="69.59999999999999" customHeight="1">
      <c r="A30" s="13" t="inlineStr">
        <is>
          <t>C2</t>
        </is>
      </c>
      <c r="B30" s="12" t="inlineStr">
        <is>
          <t>C. Data users</t>
        </is>
      </c>
      <c r="C30" s="13" t="inlineStr">
        <is>
          <t>GSO specifically: is the read-only AIP API already designed for you a better fit than a file export? A live connection never goes stale.
[2026-08-26] RE-RATED BLOCKER. New context from Ralph: the FY2028 WFP may not be built in this system at all — the approved AIP may be sent to GSO, whose system built the FY2027 WFP for other offices. (The WFP document itself is needed by PBO; GSO only builds the tool.) So this question now decides whether our AIP is the END of the chain or a FEED into someone else's, which is why it stopped being a Phase 5 nicety.</t>
        </is>
      </c>
      <c r="D30" s="13" t="inlineStr">
        <is>
          <t>GSO</t>
        </is>
      </c>
      <c r="E30" s="18" t="inlineStr">
        <is>
          <t>High</t>
        </is>
      </c>
      <c r="F30" s="13" t="inlineStr">
        <is>
          <t>Phase 5 outputs; the FY2028 WFP path (V18-81, V18-45) when it resumes</t>
        </is>
      </c>
      <c r="G30" s="13" t="inlineStr">
        <is>
          <t>Ask before building a file export — docs/External_AIP_API_Contract.md is already written and sitting in the backlog, and its open item #4 already asks GSO "anything missing for WFP BUILDING (e.g. account-level breakdown beyond PS/MOOE/CO totals)?". Half-scoped already.
⚠️ Raise one thing explicitly: the old format's "AIP data carries no per-fund breakdown" (WfpCeilingService §2 D3) is a FY&lt;=2027 constraint. The new format puts ONE FUND SOURCE PER EXPENSE LINE, so the FY2028 export CAN carry the per-fund detail GSO needs to do allocation checking on their side. If GSO cannot see funds either, the fund-mix problem does not disappear — it relocates to a system with LESS information than this one.
[2026-08-26] SEQUENCING DECIDED (Ralph): "I will leave C1 and C2 as-is for now since we haven't had a discussion yet with GSO — and I would prefer if we already have the structure of our new AIP that can be provided to them." So: BUILD THE AIP STRUCTURE FIRST, then engage GSO with something concrete. Kept at High rather than escalated to Blocker — a Blocker nobody intends to unblock is noise.
⚠️ This deferral is only safe because of V18-81 (FY2028+ WFP creation blocked in this system). With it, deferring GSO can only produce a MISSING FEATURE; without it, the same deferral would leave the double-count question open while Phases 2-3 are built on top of it.</t>
        </is>
      </c>
      <c r="H30" s="15" t="n"/>
      <c r="I30" s="15" t="n"/>
      <c r="J30" s="16" t="n"/>
      <c r="K30" s="15" t="inlineStr">
        <is>
          <t>Open</t>
        </is>
      </c>
      <c r="L30" s="13" t="inlineStr">
        <is>
          <t>Review §7</t>
        </is>
      </c>
      <c r="M30" s="13" t="n"/>
    </row>
    <row r="31" hidden="1" ht="104.4" customHeight="1">
      <c r="A31" s="13" t="inlineStr">
        <is>
          <t>D2</t>
        </is>
      </c>
      <c r="B31" s="12" t="inlineStr">
        <is>
          <t>D. Ralph</t>
        </is>
      </c>
      <c r="C31" s="13" t="inlineStr">
        <is>
          <t>Confirm the storage unit: FY≤2027 amounts stay in thousands and FY2028+ in full pesos, side by side in the same column, told apart by fiscal year?</t>
        </is>
      </c>
      <c r="D31" s="13" t="inlineStr">
        <is>
          <t>Ralph</t>
        </is>
      </c>
      <c r="E31" s="18" t="inlineStr">
        <is>
          <t>High</t>
        </is>
      </c>
      <c r="F31" s="13" t="inlineStr">
        <is>
          <t>WfpCeilingService's three × 1000 conversions</t>
        </is>
      </c>
      <c r="G31" s="13" t="inlineStr">
        <is>
          <t>The clean break implies this but never said it for UNITS. Under a partition those three conversions must become conditional on fiscal year — NOT deleted. Wrong either way, WFP budget checks silently stop validating.</t>
        </is>
      </c>
      <c r="H31" s="15" t="inlineStr">
        <is>
          <t>Migrate, do NOT partition. AIP totals move to full pesos for ALL fiscal years</t>
        </is>
      </c>
      <c r="I31" s="15" t="inlineStr">
        <is>
          <t>Ralph</t>
        </is>
      </c>
      <c r="J31" s="16" t="n">
        <v>46259</v>
      </c>
      <c r="K31" s="10" t="inlineStr">
        <is>
          <t>Answered</t>
        </is>
      </c>
      <c r="L31" s="13" t="inlineStr">
        <is>
          <t>Review §8.0 — DECISION E</t>
        </is>
      </c>
      <c r="M31" s="13" t="n"/>
    </row>
    <row r="32" hidden="1" ht="87" customHeight="1">
      <c r="A32" s="13" t="inlineStr">
        <is>
          <t>D4</t>
        </is>
      </c>
      <c r="B32" s="12" t="inlineStr">
        <is>
          <t>D. Ralph</t>
        </is>
      </c>
      <c r="C32" s="13" t="inlineStr">
        <is>
          <t>Offline entry: office-issued machines, or personal / shared laptops?</t>
        </is>
      </c>
      <c r="D32" s="13" t="inlineStr">
        <is>
          <t>Ralph</t>
        </is>
      </c>
      <c r="E32" s="18" t="inlineStr">
        <is>
          <t>High</t>
        </is>
      </c>
      <c r="F32" s="13" t="inlineStr">
        <is>
          <t>Phase 6 session persistence</t>
        </is>
      </c>
      <c r="G32" s="13" t="inlineStr">
        <is>
          <t>Decides how much of the login session we keep on the device. On a shared laptop, staying signed in means anyone who opens the browser is that user.</t>
        </is>
      </c>
      <c r="H32" s="15" t="inlineStr">
        <is>
          <t>Probably 1 user per machine</t>
        </is>
      </c>
      <c r="I32" s="15" t="inlineStr">
        <is>
          <t>Ralph</t>
        </is>
      </c>
      <c r="J32" s="16" t="n">
        <v>46259</v>
      </c>
      <c r="K32" s="10" t="inlineStr">
        <is>
          <t>Answered</t>
        </is>
      </c>
      <c r="L32" s="13" t="inlineStr">
        <is>
          <t>Review §6.2 — DECISION 7</t>
        </is>
      </c>
      <c r="M32" s="13" t="n"/>
    </row>
    <row r="33" hidden="1" ht="52.2" customHeight="1">
      <c r="A33" s="13" t="inlineStr">
        <is>
          <t>D6</t>
        </is>
      </c>
      <c r="B33" s="12" t="inlineStr">
        <is>
          <t>D. Ralph</t>
        </is>
      </c>
      <c r="C33" s="13" t="inlineStr">
        <is>
          <t>Does Phase 1 ship a real Budget Planning dashboard for office users, or keep the readiness hub until the redesign?</t>
        </is>
      </c>
      <c r="D33" s="13" t="inlineStr">
        <is>
          <t>Ralph</t>
        </is>
      </c>
      <c r="E33" s="18" t="inlineStr">
        <is>
          <t>High</t>
        </is>
      </c>
      <c r="F33" s="13" t="inlineStr">
        <is>
          <t>RAL-255 — the only Phase 1 ticket still in Backlog</t>
        </is>
      </c>
      <c r="G33" s="13" t="n"/>
      <c r="H33" s="15" t="inlineStr">
        <is>
          <t>Yes</t>
        </is>
      </c>
      <c r="I33" s="15" t="inlineStr">
        <is>
          <t>Ralph</t>
        </is>
      </c>
      <c r="J33" s="16" t="n">
        <v>46259</v>
      </c>
      <c r="K33" s="10" t="inlineStr">
        <is>
          <t>Answered</t>
        </is>
      </c>
      <c r="L33" s="13" t="inlineStr">
        <is>
          <t>Phase_Plan §3.5</t>
        </is>
      </c>
      <c r="M33" s="13" t="n"/>
    </row>
    <row r="34" hidden="1" ht="87" customHeight="1">
      <c r="A34" s="13" t="inlineStr">
        <is>
          <t>D7</t>
        </is>
      </c>
      <c r="B34" s="12" t="inlineStr">
        <is>
          <t>D. Ralph</t>
        </is>
      </c>
      <c r="C34" s="13" t="inlineStr">
        <is>
          <t>Split v1.8.0 into v1.8.0 (Phase 1) / v1.9.0 (AIP redesign) / v1.10.0 (offline)?</t>
        </is>
      </c>
      <c r="D34" s="13" t="inlineStr">
        <is>
          <t>Ralph</t>
        </is>
      </c>
      <c r="E34" s="18" t="inlineStr">
        <is>
          <t>High</t>
        </is>
      </c>
      <c r="F34" s="13" t="inlineStr">
        <is>
          <t>Release cadence</t>
        </is>
      </c>
      <c r="G34" s="13" t="inlineStr">
        <is>
          <t>Recommended: 73 work items and six open decisions in one milestone. The split is about cadence, not about unblocking office accounts — those wait for Phase 2 either way.</t>
        </is>
      </c>
      <c r="H34" s="15" t="inlineStr">
        <is>
          <t>No, just 1.8.0
if needed (due to bug or additional or moved requirement) lets proceed with 1.8.1, 1.8.2, etc.</t>
        </is>
      </c>
      <c r="I34" s="15" t="inlineStr">
        <is>
          <t>Ralph</t>
        </is>
      </c>
      <c r="J34" s="16" t="n">
        <v>46259</v>
      </c>
      <c r="K34" s="10" t="inlineStr">
        <is>
          <t>Answered</t>
        </is>
      </c>
      <c r="L34" s="13" t="inlineStr">
        <is>
          <t>Phase_Plan §10</t>
        </is>
      </c>
      <c r="M34" s="13" t="n"/>
    </row>
    <row r="35" hidden="1" ht="52.2" customHeight="1">
      <c r="A35" s="13" t="inlineStr">
        <is>
          <t>D8</t>
        </is>
      </c>
      <c r="B35" s="12" t="inlineStr">
        <is>
          <t>D. Ralph</t>
        </is>
      </c>
      <c r="C35" s="13" t="inlineStr">
        <is>
          <t>The SuperAdmin seed password (PPDOAdmin2026!) is still written in CLAUDE.md and live in production. Create a ticket for it?</t>
        </is>
      </c>
      <c r="D35" s="13" t="inlineStr">
        <is>
          <t>Ralph</t>
        </is>
      </c>
      <c r="E35" s="18" t="inlineStr">
        <is>
          <t>High</t>
        </is>
      </c>
      <c r="F35" s="13" t="inlineStr">
        <is>
          <t>Security</t>
        </is>
      </c>
      <c r="G35" s="13" t="inlineStr">
        <is>
          <t>Same class as RAL-254, which was just fixed, but it was outside that ticket's scope.</t>
        </is>
      </c>
      <c r="H35" s="15" t="inlineStr">
        <is>
          <t>Yes, as reminder to change password</t>
        </is>
      </c>
      <c r="I35" s="15" t="inlineStr">
        <is>
          <t>Ralph</t>
        </is>
      </c>
      <c r="J35" s="16" t="n">
        <v>46259</v>
      </c>
      <c r="K35" s="10" t="inlineStr">
        <is>
          <t>Answered</t>
        </is>
      </c>
      <c r="L35" s="13" t="inlineStr">
        <is>
          <t>Review §2.2</t>
        </is>
      </c>
      <c r="M35" s="13" t="n"/>
    </row>
    <row r="36" hidden="1" ht="87" customHeight="1">
      <c r="A36" s="11" t="inlineStr">
        <is>
          <t>G1</t>
        </is>
      </c>
      <c r="B36" s="12" t="inlineStr">
        <is>
          <t>E. +30% uplift</t>
        </is>
      </c>
      <c r="C36" s="13" t="inlineStr">
        <is>
          <t>Is the +30% written onto the row, or is the base stored and the uplift computed when read? (A stored uplift also compounds to 1.69x if a row is ever re-saved.)</t>
        </is>
      </c>
      <c r="D36" s="13" t="inlineStr">
        <is>
          <t>Ralph / PPDC</t>
        </is>
      </c>
      <c r="E36" s="14" t="inlineStr">
        <is>
          <t>Blocker</t>
        </is>
      </c>
      <c r="F36" s="13" t="inlineStr">
        <is>
          <t>V18-74, V18-46, every Phase 5 report</t>
        </is>
      </c>
      <c r="G36" s="13" t="inlineStr">
        <is>
          <t>Derived. Store what the office entered and apply the uplift at the edge - the same rule DECISION E just set for units, and it keeps the office’s own figure recoverable.</t>
        </is>
      </c>
      <c r="H36" s="15" t="inlineStr">
        <is>
          <t>Yes, store the value as it is in the database. The +30% will be in the report</t>
        </is>
      </c>
      <c r="I36" s="15" t="inlineStr">
        <is>
          <t>Ralph</t>
        </is>
      </c>
      <c r="J36" s="16" t="n">
        <v>46259</v>
      </c>
      <c r="K36" s="15" t="inlineStr">
        <is>
          <t>Answered</t>
        </is>
      </c>
      <c r="L36" s="13" t="inlineStr">
        <is>
          <t>Phase_Plan §12.2 ①</t>
        </is>
      </c>
      <c r="M36" s="13" t="inlineStr">
        <is>
          <t>Example: the office enters MOOE ₱1,000,000. Is 1,000,000 stored and 1,300 printed, or is 1,300,000 stored?</t>
        </is>
      </c>
    </row>
    <row r="37" hidden="1" ht="104.4" customHeight="1">
      <c r="A37" s="11" t="inlineStr">
        <is>
          <t>G2</t>
        </is>
      </c>
      <c r="B37" s="12" t="inlineStr">
        <is>
          <t>E. +30% uplift</t>
        </is>
      </c>
      <c r="C37" s="13" t="inlineStr">
        <is>
          <t>Is 30% fixed, or a rate that can change in a later fiscal year?</t>
        </is>
      </c>
      <c r="D37" s="13" t="inlineStr">
        <is>
          <t>PPDC</t>
        </is>
      </c>
      <c r="E37" s="14" t="inlineStr">
        <is>
          <t>High</t>
        </is>
      </c>
      <c r="F37" s="13" t="inlineStr">
        <is>
          <t>V18-74</t>
        </is>
      </c>
      <c r="G37" s="13" t="inlineStr">
        <is>
          <t>Make it configurable per fiscal year and snapshot the rate onto the record (same pattern as the account/fund snapshots). A hardcoded 1.30 becomes a migration the first time it changes.</t>
        </is>
      </c>
      <c r="H37" s="15" t="inlineStr">
        <is>
          <t>Fixed</t>
        </is>
      </c>
      <c r="I37" s="15" t="inlineStr">
        <is>
          <t>Ralph</t>
        </is>
      </c>
      <c r="J37" s="16" t="n">
        <v>46259</v>
      </c>
      <c r="K37" s="15" t="inlineStr">
        <is>
          <t>Answered</t>
        </is>
      </c>
      <c r="L37" s="13" t="inlineStr">
        <is>
          <t>Phase_Plan §12.2 ②</t>
        </is>
      </c>
      <c r="M37" s="13" t="inlineStr">
        <is>
          <t>Example: FY2028 uses 30%, FY2029 moves to 20%. Reprinting the FY2028 document must still show it at 30%.</t>
        </is>
      </c>
    </row>
    <row r="38" hidden="1" ht="87" customHeight="1">
      <c r="A38" s="11" t="inlineStr">
        <is>
          <t>G3</t>
        </is>
      </c>
      <c r="B38" s="12" t="inlineStr">
        <is>
          <t>E. +30% uplift</t>
        </is>
      </c>
      <c r="C38" s="13" t="inlineStr">
        <is>
          <t>Does the ceiling check compare the UPLIFTED MOOE+CO, or the base figures the office typed?</t>
        </is>
      </c>
      <c r="D38" s="13" t="inlineStr">
        <is>
          <t>PBO / PPDC</t>
        </is>
      </c>
      <c r="E38" s="14" t="inlineStr">
        <is>
          <t>Blocker</t>
        </is>
      </c>
      <c r="F38" s="13" t="inlineStr">
        <is>
          <t>V18-46, Phase 3 entry</t>
        </is>
      </c>
      <c r="G38" s="13" t="inlineStr">
        <is>
          <t>The uplifted figure - the same principle as A2-4: the system must never disagree with the paper. If the ceiling sees the base, an office can plan 30% past its ceiling and the form will print it.</t>
        </is>
      </c>
      <c r="H38" s="15" t="inlineStr">
        <is>
          <t>the +30% is not included in the ceiling check</t>
        </is>
      </c>
      <c r="I38" s="15" t="inlineStr">
        <is>
          <t>Ralph</t>
        </is>
      </c>
      <c r="J38" s="16" t="n">
        <v>46259</v>
      </c>
      <c r="K38" s="15" t="inlineStr">
        <is>
          <t>Answered</t>
        </is>
      </c>
      <c r="L38" s="13" t="inlineStr">
        <is>
          <t>Phase_Plan §12.2 ③</t>
        </is>
      </c>
      <c r="M38" s="13" t="inlineStr">
        <is>
          <t>Example: ceiling ₱10,000,000; the office encodes ₱8,000,000 of MOOE+CO. With the uplift that prints as ₱10,400,000 - over the ceiling. Without it, ₱8,000,000 - under. Which one decides pass/fail?</t>
        </is>
      </c>
    </row>
    <row r="39" hidden="1" ht="69.59999999999999" customHeight="1">
      <c r="A39" s="11" t="inlineStr">
        <is>
          <t>G4</t>
        </is>
      </c>
      <c r="B39" s="12" t="inlineStr">
        <is>
          <t>E. +30% uplift</t>
        </is>
      </c>
      <c r="C39" s="13" t="inlineStr">
        <is>
          <t>Does the AIP activity total that limits the WFP include the uplift - i.e. does the WFP get the extra 30% of room too?</t>
        </is>
      </c>
      <c r="D39" s="13" t="inlineStr">
        <is>
          <t>PPDC</t>
        </is>
      </c>
      <c r="E39" s="14" t="inlineStr">
        <is>
          <t>Blocker</t>
        </is>
      </c>
      <c r="F39" s="13" t="inlineStr">
        <is>
          <t>V18-36, the AIP↔WFP boundary</t>
        </is>
      </c>
      <c r="G39" s="13" t="inlineStr">
        <is>
          <t>Needs an explicit answer either way. Whichever is chosen, the AIP total must mean the SAME thing on the printed form and in the WFP check.</t>
        </is>
      </c>
      <c r="H39" s="15" t="inlineStr">
        <is>
          <t>No, values or ceiling will be adjusted there</t>
        </is>
      </c>
      <c r="I39" s="15" t="inlineStr">
        <is>
          <t>Ralph</t>
        </is>
      </c>
      <c r="J39" s="16" t="n">
        <v>46259</v>
      </c>
      <c r="K39" s="15" t="inlineStr">
        <is>
          <t>Answered</t>
        </is>
      </c>
      <c r="L39" s="13" t="inlineStr">
        <is>
          <t>Phase_Plan §12.2 ④</t>
        </is>
      </c>
      <c r="M39" s="13" t="inlineStr">
        <is>
          <t>Example: AIP activity ₱1,000,000 + 30% = ₱1,300,000. May the WFP detail ₱1,300,000 against it, or only ₱1,000,000?</t>
        </is>
      </c>
    </row>
    <row r="40" ht="52.2" customHeight="1">
      <c r="A40" s="11" t="inlineStr">
        <is>
          <t>G5</t>
        </is>
      </c>
      <c r="B40" s="12" t="inlineStr">
        <is>
          <t>E. +30% uplift</t>
        </is>
      </c>
      <c r="C40" s="13" t="inlineStr">
        <is>
          <t>Uplift first and then round up to the thousand, or round first and then uplift?</t>
        </is>
      </c>
      <c r="D40" s="13" t="inlineStr">
        <is>
          <t>PBO</t>
        </is>
      </c>
      <c r="E40" s="14" t="inlineStr">
        <is>
          <t>Confirm</t>
        </is>
      </c>
      <c r="F40" s="13" t="inlineStr">
        <is>
          <t>Phase 5 reports</t>
        </is>
      </c>
      <c r="G40" s="13" t="inlineStr">
        <is>
          <t>Uplift, then round. Rounding first rounds a number nobody ever sees.</t>
        </is>
      </c>
      <c r="H40" s="15" t="inlineStr">
        <is>
          <t>Yes
✅ RESOLVED 2026-08-26. Asked concretely (₱1,000,400 base prints as 1,301 or 1,302?), Ralph answered 1,301 — which is UPLIFT, THEN ROUND. ₱1,000,400 x 1.3 = ₱1,300,520, rounded up to the thousand = 1,301. (Round-then-uplift would give 1,001 x 1.3 = 1,301.3 → 1,302.)
Matches the original recommendation: rounding first would round a number nobody ever sees.
⚠️ Applies to the printed columns M and N and to O. The CEILING check is separate and unaffected — it compares the entered base, rounded up (G3 / A2-4 / G7).</t>
        </is>
      </c>
      <c r="I40" s="15" t="inlineStr">
        <is>
          <t>Ralph</t>
        </is>
      </c>
      <c r="J40" s="16" t="n">
        <v>46260</v>
      </c>
      <c r="K40" s="15" t="inlineStr">
        <is>
          <t>Answered</t>
        </is>
      </c>
      <c r="L40" s="13" t="inlineStr">
        <is>
          <t>Phase_Plan §12.2 ⑤</t>
        </is>
      </c>
      <c r="M40" s="13" t="inlineStr">
        <is>
          <t>Example: ₱1,000,400 × 1.3 = ₱1,300,520, printing 1,301. Rounding first gives 1,001 × 1.3 = 1,301.3, printing 1,302.</t>
        </is>
      </c>
    </row>
    <row r="41" hidden="1" ht="87" customHeight="1">
      <c r="A41" s="11" t="inlineStr">
        <is>
          <t>G6</t>
        </is>
      </c>
      <c r="B41" s="12" t="inlineStr">
        <is>
          <t>E. +30% uplift</t>
        </is>
      </c>
      <c r="C41" s="13" t="inlineStr">
        <is>
          <t>Does the uplift apply only to the new FY2028+ format, and does the printed Total column become PS + 1.3 × (MOOE + CO)?</t>
        </is>
      </c>
      <c r="D41" s="13" t="inlineStr">
        <is>
          <t>PPDC</t>
        </is>
      </c>
      <c r="E41" s="14" t="inlineStr">
        <is>
          <t>Confirm</t>
        </is>
      </c>
      <c r="F41" s="13" t="inlineStr">
        <is>
          <t>Phase 5 form spec</t>
        </is>
      </c>
      <c r="G41" s="13" t="inlineStr">
        <is>
          <t>Yes to both, unless told otherwise: FY≤2027 rows are historical and are not recomputed, and the Total is stated explicitly on the form spec so nobody reads it as 1.3 × everything.</t>
        </is>
      </c>
      <c r="H41" s="15" t="inlineStr">
        <is>
          <t>yes to both</t>
        </is>
      </c>
      <c r="I41" s="15" t="inlineStr">
        <is>
          <t>Ralph</t>
        </is>
      </c>
      <c r="J41" s="16" t="n">
        <v>46259</v>
      </c>
      <c r="K41" s="15" t="inlineStr">
        <is>
          <t>Answered</t>
        </is>
      </c>
      <c r="L41" s="13" t="inlineStr">
        <is>
          <t>Phase_Plan §12.2</t>
        </is>
      </c>
      <c r="M41" s="13" t="inlineStr">
        <is>
          <t>Example: PS ₱100,000 + MOOE ₱200,000 + CO ₱300,000. Total = 100,000 + 1.3 × 500,000 = ₱750,000, not 1.3 × 600,000 = ₱780,000.</t>
        </is>
      </c>
    </row>
    <row r="42" hidden="1" ht="121.8" customHeight="1">
      <c r="A42" s="11" t="inlineStr">
        <is>
          <t>A1-b</t>
        </is>
      </c>
      <c r="B42" s="12" t="inlineStr">
        <is>
          <t>A. PBO</t>
        </is>
      </c>
      <c r="C42" s="13" t="inlineStr">
        <is>
          <t>Once the AIP draws down the division allocation, does the WFP STOP drawing down that same allocation for FY2028+? (Follows from A1 - WFP is already limited by its AIP activity.)</t>
        </is>
      </c>
      <c r="D42" s="13" t="inlineStr">
        <is>
          <t>Ralph</t>
        </is>
      </c>
      <c r="E42" s="14" t="inlineStr">
        <is>
          <t>Blocker</t>
        </is>
      </c>
      <c r="F42" s="13" t="inlineStr">
        <is>
          <t>V18-45, V18-46 - must be settled before either is ticketed</t>
        </is>
      </c>
      <c r="G42" s="13" t="inlineStr">
        <is>
          <t>Retire the WFP allocation check for FY2028+. The chain allocation → AIP → WFP stays intact without it, and it is what "the AIP is created first, then WFP" implies.</t>
        </is>
      </c>
      <c r="H42" s="15" t="inlineStr">
        <is>
          <t>I think yes.
But in a later discussion, we will go back to old requirement where only GF will have ceiling check. Sorry
[2026-08-26] "Mostly correct — but it may be possible that fund allocation will be different during WFP creation." Clarified: BOTH the allocation AMOUNT and the FUND MIX may differ by WFP time, and the WFP is limited by THE LESSER of the AIP activity and the current allocation.
✅ SETTLED. The WFP allocation check is NOT retired — retiring it would hide exactly the change Ralph is describing. It stays live and validates per fund against the allocation AS IT STANDS AT WFP TIME. An expenditure must satisfy both bounds: &lt;= its AIP activity amount, and &lt;= the fund's currently remaining allocation. A raised allocation gives no extra room without amending the AIP (V18-73); a cut allocation blocks the difference.
⚠️ No double-count: the AIP row is a RESERVATION that the WFP RELIEVES as it commits. Allocation consumed = WFP committed + AIP reserved not yet converted. Relief must be PER ACTIVITY, not per fund — relieving per fund strands reservations whenever the fund mix changes. Written out in Phase_Plan §12.1.</t>
        </is>
      </c>
      <c r="I42" s="15" t="inlineStr">
        <is>
          <t>Ralph</t>
        </is>
      </c>
      <c r="J42" s="16" t="n">
        <v>46260</v>
      </c>
      <c r="K42" s="15" t="inlineStr">
        <is>
          <t>Answered</t>
        </is>
      </c>
      <c r="L42" s="13" t="inlineStr">
        <is>
          <t>Phase_Plan §12.1</t>
        </is>
      </c>
      <c r="M42" s="13" t="inlineStr">
        <is>
          <t>Example: allocation ₱10,000,000. The AIP plans ₱6,000,000 and the WFP details the same ₱6,000,000. If both ledgers post, the division reads ₱12,000,000 used of ₱10,000,000 - or can still commit ₱10,000,000 in the WFP on top of the plan. No error either way.</t>
        </is>
      </c>
    </row>
    <row r="43" ht="87" customHeight="1">
      <c r="A43" s="11" t="inlineStr">
        <is>
          <t>A5-b</t>
        </is>
      </c>
      <c r="B43" s="12" t="inlineStr">
        <is>
          <t>A. PBO</t>
        </is>
      </c>
      <c r="C43" s="13" t="inlineStr">
        <is>
          <t>What happens when PBO lowers an office ceiling AFTER its divisions have encoded against the old one? (The second half of A5, which went unanswered.)</t>
        </is>
      </c>
      <c r="D43" s="13" t="inlineStr">
        <is>
          <t>PBO / Ralph</t>
        </is>
      </c>
      <c r="E43" s="14" t="inlineStr">
        <is>
          <t>High</t>
        </is>
      </c>
      <c r="F43" s="13" t="inlineStr">
        <is>
          <t>V18-48, Phase 3 entry</t>
        </is>
      </c>
      <c r="G43" s="13" t="inlineStr">
        <is>
          <t>Leave the encoded work standing and let it fail at submit - consistent with DECISION C, and it avoids destroying work the office did in good faith.</t>
        </is>
      </c>
      <c r="H43" s="15" t="inlineStr">
        <is>
          <t>yes
✅ CONFIRMED 2026-08-26: the encoded work STANDS and fails at submit. Nothing is deleted, adjusted or flagged at the moment PBO cuts the ceiling. Consistent with DECISION C (block at submit, not at save), and it avoids destroying work the office did in good faith.
⚠️ IMPLEMENTATION TRAP for V18-48/V18-45: after a cut, an office's REMAINING allocation is legitimately NEGATIVE — and that is exactly the state that must block submit. A Math.Max(0, ...) anywhere in the ledger, the DTO or the UI would hide the only signal the office has that it is over. Show the negative figure.
ℹ️ Scope: this covers a cut while the office is still ENCODING. A ceiling cut AFTER the AIP is approved is a different path — that is the supplemental/amendment route through the PDC and Sanggunian (tracker B15 / V18-73), not this row.</t>
        </is>
      </c>
      <c r="I43" s="15" t="inlineStr">
        <is>
          <t>Ralph</t>
        </is>
      </c>
      <c r="J43" s="16" t="n">
        <v>46260</v>
      </c>
      <c r="K43" s="15" t="inlineStr">
        <is>
          <t>Answered</t>
        </is>
      </c>
      <c r="L43" s="13" t="inlineStr">
        <is>
          <t>Review §4.4 - DECISION D</t>
        </is>
      </c>
      <c r="M43" s="13" t="inlineStr">
        <is>
          <t>Example: divisions A and B have encoded ₱4,000,000 and ₱3,000,000 when PBO cuts the office ceiling to ₱6,000,000. The office is ₱1,000,000 over a ceiling that did not exist when they encoded.</t>
        </is>
      </c>
    </row>
    <row r="44" hidden="1" ht="69.59999999999999" customHeight="1">
      <c r="A44" s="11" t="inlineStr">
        <is>
          <t>A6-4</t>
        </is>
      </c>
      <c r="B44" s="12" t="inlineStr">
        <is>
          <t>A. PBO</t>
        </is>
      </c>
      <c r="C44" s="13" t="inlineStr">
        <is>
          <t>Now that ceilings apply to every fund (A6-1): PBO to supply the actual ceiling figures for GAD, 20% DF, LDRRF and Trust Fund, per office per fiscal year.</t>
        </is>
      </c>
      <c r="D44" s="13" t="inlineStr">
        <is>
          <t>PBO</t>
        </is>
      </c>
      <c r="E44" s="14" t="inlineStr">
        <is>
          <t>High</t>
        </is>
      </c>
      <c r="F44" s="13" t="inlineStr">
        <is>
          <t>Phase 3 - cannot be tested without real figures</t>
        </is>
      </c>
      <c r="G44" s="13" t="inlineStr">
        <is>
          <t>Note for whoever collects these: in the existing code a fund with NO allocation row is treated as a ceiling of ZERO, not as unlimited. Blank is not neutral.</t>
        </is>
      </c>
      <c r="H44" s="15" t="inlineStr">
        <is>
          <t>↩️ MOOT — ceilings reverted to General Fund only (2026-08-26, confirmed by Ralph), so there are no non-GF ceiling figures to collect. Original answer: "in a later discussion, we will go back to old requirement where only GF will have ceiling check. Sorry". Work item V18-78 is dropped.
⚠️ One thing still has to be built: non-GF funds must be EXPLICITLY EXCLUDED from the ceiling check. GetDivisionAllocationAsync resolves a missing allocation row to 0, so leaving a fund without a ceiling row constrains it to ZERO, not to unlimited. Folded into V18-46.</t>
        </is>
      </c>
      <c r="I44" s="15" t="inlineStr">
        <is>
          <t>Ralph</t>
        </is>
      </c>
      <c r="J44" s="16" t="n">
        <v>46259</v>
      </c>
      <c r="K44" s="15" t="inlineStr">
        <is>
          <t>N/A</t>
        </is>
      </c>
      <c r="L44" s="13" t="inlineStr">
        <is>
          <t>Phase_Plan §12.3</t>
        </is>
      </c>
      <c r="M44" s="13" t="inlineStr">
        <is>
          <t>Example: if GAD has no ceiling row for an office, every GAD line in that office fails the check at ₱0 remaining.</t>
        </is>
      </c>
    </row>
    <row r="45" hidden="1" ht="104.4" customHeight="1">
      <c r="A45" s="11" t="inlineStr">
        <is>
          <t>B9</t>
        </is>
      </c>
      <c r="B45" s="12" t="inlineStr">
        <is>
          <t>B. PPDC</t>
        </is>
      </c>
      <c r="C45" s="13" t="inlineStr">
        <is>
          <t>The AIP ref-code layout: how many segments, what each one means (sector / office / program / project / activity), and where each sequence resets.</t>
        </is>
      </c>
      <c r="D45" s="13" t="inlineStr">
        <is>
          <t>PPDC / Ralph</t>
        </is>
      </c>
      <c r="E45" s="14" t="inlineStr">
        <is>
          <t>Blocker</t>
        </is>
      </c>
      <c r="F45" s="13" t="inlineStr">
        <is>
          <t>V18-44 (generation), V18-76 (columns), V18-75 (search)</t>
        </is>
      </c>
      <c r="G45" s="13" t="inlineStr">
        <is>
          <t>Needed as separate indexed columns, not one string - a LIKE search over a formatted ref code cannot use an index and cannot express "segment 3 = 004". Retrofitting means migrating every row.</t>
        </is>
      </c>
      <c r="H45" s="15" t="inlineStr">
        <is>
          <t>we still follow the format we originally knows "8000-000-1-03-009-001-001-001". The one from the image is a sample based in memory</t>
        </is>
      </c>
      <c r="I45" s="15" t="inlineStr">
        <is>
          <t>Ralph</t>
        </is>
      </c>
      <c r="J45" s="16" t="n">
        <v>46259</v>
      </c>
      <c r="K45" s="15" t="inlineStr">
        <is>
          <t>Answered</t>
        </is>
      </c>
      <c r="L45" s="13" t="inlineStr">
        <is>
          <t>Phase_Plan §12.5 / meeting photo</t>
        </is>
      </c>
      <c r="M45" s="13" t="inlineStr">
        <is>
          <t>The meeting page sketches #-xxxx-xxx-xxx-xxx with 001 / 002 / 003 beneath it. The real layout is what V18-76 needs.</t>
        </is>
      </c>
    </row>
    <row r="46" hidden="1" ht="348" customHeight="1">
      <c r="A46" s="11" t="inlineStr">
        <is>
          <t>B10</t>
        </is>
      </c>
      <c r="B46" s="12" t="inlineStr">
        <is>
          <t>B. PPDC</t>
        </is>
      </c>
      <c r="C46" s="13" t="inlineStr">
        <is>
          <t>Comments: threaded with a resolve action, or flat notes? Do they survive a re-submit, and does the encoder still see the previous round? Also confirm PPDO reviewers COMMENT but do not EDIT.</t>
        </is>
      </c>
      <c r="D46" s="13" t="inlineStr">
        <is>
          <t>PPDC</t>
        </is>
      </c>
      <c r="E46" s="14" t="inlineStr">
        <is>
          <t>High</t>
        </is>
      </c>
      <c r="F46" s="13" t="inlineStr">
        <is>
          <t>V18-53</t>
        </is>
      </c>
      <c r="G46" s="13" t="inlineStr">
        <is>
          <t>The edit half follows from B3 (locked once submitted to PPDO) but is a reading, not something that was said - worth confirming. Threading materially changes the size of V18-53.</t>
        </is>
      </c>
      <c r="H46" s="15" t="inlineStr">
        <is>
          <t>PPDO reviewers COMMENT but do not EDIT. 
After some thinking, this is what I come up. During review, reviewers can only add to in-line comments. And this comments will have a "Mark as resolved" checkbox when they return the work back to the office or encoder. When they resubmit, the App will first check if all comments were resolved, if not message then with a warning about the remaining number of un-resolved comments and they can still proceed or cancel</t>
        </is>
      </c>
      <c r="I46" s="15" t="inlineStr">
        <is>
          <t>Ralph</t>
        </is>
      </c>
      <c r="J46" s="16" t="n">
        <v>46260</v>
      </c>
      <c r="K46" s="15" t="inlineStr">
        <is>
          <t>Answered</t>
        </is>
      </c>
      <c r="L46" s="13" t="inlineStr">
        <is>
          <t>Phase_Plan §12.5 / §12.6</t>
        </is>
      </c>
      <c r="M46" s="13" t="n"/>
    </row>
    <row r="47" hidden="1" ht="156.6" customHeight="1">
      <c r="A47" s="11" t="inlineStr">
        <is>
          <t>B11</t>
        </is>
      </c>
      <c r="B47" s="12" t="inlineStr">
        <is>
          <t>D. Ralph</t>
        </is>
      </c>
      <c r="C47" s="13" t="inlineStr">
        <is>
          <t>The planned reviewer write-denial (RAL-256 / V18-04) contradicts B1 and B3, where the department head edits values during review. Does the denial apply to WFP/LDIP only, or go away entirely?</t>
        </is>
      </c>
      <c r="D47" s="13" t="inlineStr">
        <is>
          <t>Ralph</t>
        </is>
      </c>
      <c r="E47" s="14" t="inlineStr">
        <is>
          <t>High</t>
        </is>
      </c>
      <c r="F47" s="13" t="inlineStr">
        <is>
          <t>V18-04 / RAL-256 - a Phase 1 ticket</t>
        </is>
      </c>
      <c r="G47" s="13" t="inlineStr">
        <is>
          <t>This is the codebase’s first subtractive permission; better to settle its premise than to build it and carve out an exception for AIP later.</t>
        </is>
      </c>
      <c r="H47" s="15" t="inlineStr">
        <is>
          <t>our change mostly focus on AIP, and the reason why edit is added to the dept head reviewer only is for them to update any minor details they found during review. And for the PPDO review, they wont be able to apply any update, just comment.</t>
        </is>
      </c>
      <c r="I47" s="15" t="inlineStr">
        <is>
          <t>Ralph</t>
        </is>
      </c>
      <c r="J47" s="16" t="n">
        <v>46260</v>
      </c>
      <c r="K47" s="15" t="inlineStr">
        <is>
          <t>Answered</t>
        </is>
      </c>
      <c r="L47" s="13" t="inlineStr">
        <is>
          <t>Phase_Plan §12.8 Q7</t>
        </is>
      </c>
      <c r="M47" s="13" t="n"/>
    </row>
    <row r="48" hidden="1" ht="69.59999999999999" customHeight="1">
      <c r="A48" s="11" t="inlineStr">
        <is>
          <t>B12</t>
        </is>
      </c>
      <c r="B48" s="12" t="inlineStr">
        <is>
          <t>B. PPDC</t>
        </is>
      </c>
      <c r="C48" s="13" t="inlineStr">
        <is>
          <t>Do PPDO’s own divisions submit to a PPDO department-head reviewer first, mirroring an office? And is that person distinct from the PPDO consolidated reviewer?</t>
        </is>
      </c>
      <c r="D48" s="13" t="inlineStr">
        <is>
          <t>PPDC</t>
        </is>
      </c>
      <c r="E48" s="14" t="inlineStr">
        <is>
          <t>High</t>
        </is>
      </c>
      <c r="F48" s="13" t="inlineStr">
        <is>
          <t>V18-55, V18-40</t>
        </is>
      </c>
      <c r="G48" s="13" t="inlineStr">
        <is>
          <t>Underneath this sits the last structural unknown: one AIP record per PPDO division, or one record with division-tagged rows.</t>
        </is>
      </c>
      <c r="H48" s="15" t="inlineStr">
        <is>
          <t>yes to both. For PPDO encoders they will only be able to see their division's work.</t>
        </is>
      </c>
      <c r="I48" s="15" t="inlineStr">
        <is>
          <t>Ralph</t>
        </is>
      </c>
      <c r="J48" s="16" t="n">
        <v>46260</v>
      </c>
      <c r="K48" s="15" t="inlineStr">
        <is>
          <t>Answered</t>
        </is>
      </c>
      <c r="L48" s="13" t="inlineStr">
        <is>
          <t>AIP_Redesign_Notes §4 Q2/Q3</t>
        </is>
      </c>
      <c r="M48" s="13" t="n"/>
    </row>
    <row r="49" hidden="1" ht="156.6" customHeight="1">
      <c r="A49" s="11" t="inlineStr">
        <is>
          <t>B13</t>
        </is>
      </c>
      <c r="B49" s="12" t="inlineStr">
        <is>
          <t>B. PPDC</t>
        </is>
      </c>
      <c r="C49" s="13" t="inlineStr">
        <is>
          <t>"One reviewer per office" - enforced by the system, or an administrative convention? And what happens when that person is on leave?</t>
        </is>
      </c>
      <c r="D49" s="13" t="inlineStr">
        <is>
          <t>PPDC</t>
        </is>
      </c>
      <c r="E49" s="14" t="inlineStr">
        <is>
          <t>Confirm</t>
        </is>
      </c>
      <c r="F49" s="13" t="inlineStr">
        <is>
          <t>V18-03, V18-79</t>
        </is>
      </c>
      <c r="G49" s="13" t="inlineStr">
        <is>
          <t>If it is a real constraint, enforce it in the database (a filtered unique index, as with the host office). If it is convention, do not build a constraint that will need an override at the worst possible moment.</t>
        </is>
      </c>
      <c r="H49" s="15" t="inlineStr">
        <is>
          <t>lets enforce by convention, just add a error if an app admin accidentally assign another reviewer to the same office. So that if they want to have many reviewer per office in the future, we wont have many issues when changing</t>
        </is>
      </c>
      <c r="I49" s="15" t="inlineStr">
        <is>
          <t>Ralph</t>
        </is>
      </c>
      <c r="J49" s="16" t="n">
        <v>46260</v>
      </c>
      <c r="K49" s="15" t="inlineStr">
        <is>
          <t>Answered</t>
        </is>
      </c>
      <c r="L49" s="13" t="inlineStr">
        <is>
          <t>Findings §6.4 / tracker B4-c</t>
        </is>
      </c>
      <c r="M49" s="13" t="n"/>
    </row>
    <row r="50" hidden="1" ht="69.59999999999999" customHeight="1">
      <c r="A50" s="11" t="inlineStr">
        <is>
          <t>W10</t>
        </is>
      </c>
      <c r="B50" s="12" t="inlineStr">
        <is>
          <t>B. PPDC</t>
        </is>
      </c>
      <c r="C50" s="13" t="inlineStr">
        <is>
          <t>From the meeting page: what are "PBO Connect" and "Recall AIP" - a later stage of this flow, or a separate feature?</t>
        </is>
      </c>
      <c r="D50" s="13" t="inlineStr">
        <is>
          <t>PPDC</t>
        </is>
      </c>
      <c r="E50" s="14" t="inlineStr">
        <is>
          <t>Confirm</t>
        </is>
      </c>
      <c r="F50" s="13" t="inlineStr">
        <is>
          <t>Scope - unknown until answered</t>
        </is>
      </c>
      <c r="G50" s="13" t="n"/>
      <c r="H50" s="15" t="inlineStr">
        <is>
          <t>A later stage, this is part of the skipped questions at the top since it's requirement will be outside PPDO for now</t>
        </is>
      </c>
      <c r="I50" s="15" t="inlineStr">
        <is>
          <t>Ralph</t>
        </is>
      </c>
      <c r="J50" s="16" t="n">
        <v>46260</v>
      </c>
      <c r="K50" s="15" t="inlineStr">
        <is>
          <t>Answered</t>
        </is>
      </c>
      <c r="L50" s="13" t="inlineStr">
        <is>
          <t>Meeting photo, page 1</t>
        </is>
      </c>
      <c r="M50" s="13" t="n"/>
    </row>
    <row r="51" hidden="1" ht="69.59999999999999" customHeight="1">
      <c r="A51" s="11" t="inlineStr">
        <is>
          <t>W11</t>
        </is>
      </c>
      <c r="B51" s="12" t="inlineStr">
        <is>
          <t>B. PPDC</t>
        </is>
      </c>
      <c r="C51" s="13" t="inlineStr">
        <is>
          <t>From the meeting page: "format { Price · Budget · AIP }" above a fund list reading roughly PS · GF · LDRRMF · CDF(?) · PC/PC · NGA - is that the per-activity fund-source list for the new format?</t>
        </is>
      </c>
      <c r="D51" s="13" t="inlineStr">
        <is>
          <t>PPDC</t>
        </is>
      </c>
      <c r="E51" s="14" t="inlineStr">
        <is>
          <t>Confirm</t>
        </is>
      </c>
      <c r="F51" s="13" t="inlineStr">
        <is>
          <t>Funding-source config, Phase 3 entry</t>
        </is>
      </c>
      <c r="G51" s="13" t="n"/>
      <c r="H51" s="15" t="inlineStr">
        <is>
          <t>Its just per activity-fund source</t>
        </is>
      </c>
      <c r="I51" s="15" t="inlineStr">
        <is>
          <t>Ralph</t>
        </is>
      </c>
      <c r="J51" s="16" t="n">
        <v>46260</v>
      </c>
      <c r="K51" s="15" t="inlineStr">
        <is>
          <t>Answered</t>
        </is>
      </c>
      <c r="L51" s="13" t="inlineStr">
        <is>
          <t>Meeting photo, page 1</t>
        </is>
      </c>
      <c r="M51" s="13" t="n"/>
    </row>
    <row r="52" hidden="1" ht="87" customHeight="1">
      <c r="A52" s="11" t="inlineStr">
        <is>
          <t>W12</t>
        </is>
      </c>
      <c r="B52" s="12" t="inlineStr">
        <is>
          <t>B. PPDC</t>
        </is>
      </c>
      <c r="C52" s="13" t="inlineStr">
        <is>
          <t>From the meeting page, step 2: "set limit Prog 1 of cost, Proj 2 ½ half cost" - is that a per-project limit rule applied at department-head level?</t>
        </is>
      </c>
      <c r="D52" s="13" t="inlineStr">
        <is>
          <t>PPDC</t>
        </is>
      </c>
      <c r="E52" s="14" t="inlineStr">
        <is>
          <t>Confirm</t>
        </is>
      </c>
      <c r="F52" s="13" t="inlineStr">
        <is>
          <t>Phase 3 entry rules</t>
        </is>
      </c>
      <c r="G52" s="13" t="n"/>
      <c r="H52" s="15" t="inlineStr">
        <is>
          <t>its just a sample scenario during meeting. Something like a note or comment that they want adjustment to a project</t>
        </is>
      </c>
      <c r="I52" s="15" t="inlineStr">
        <is>
          <t>Ralph</t>
        </is>
      </c>
      <c r="J52" s="16" t="n">
        <v>46260</v>
      </c>
      <c r="K52" s="15" t="inlineStr">
        <is>
          <t>Answered</t>
        </is>
      </c>
      <c r="L52" s="13" t="inlineStr">
        <is>
          <t>Meeting photo, page 1</t>
        </is>
      </c>
      <c r="M52" s="13" t="n"/>
    </row>
    <row r="53" hidden="1" ht="174" customHeight="1">
      <c r="A53" s="11" t="inlineStr">
        <is>
          <t>W13</t>
        </is>
      </c>
      <c r="B53" s="12" t="inlineStr">
        <is>
          <t>B. PPDC</t>
        </is>
      </c>
      <c r="C53" s="13" t="inlineStr">
        <is>
          <t>From the second page: "delete item / change cost → Price Index" - does the Price Index feed AIP costing, or is that a separate maintenance note?</t>
        </is>
      </c>
      <c r="D53" s="13" t="inlineStr">
        <is>
          <t>PPDC</t>
        </is>
      </c>
      <c r="E53" s="14" t="inlineStr">
        <is>
          <t>Confirm</t>
        </is>
      </c>
      <c r="F53" s="13" t="inlineStr">
        <is>
          <t>Phase 3 entry / price index</t>
        </is>
      </c>
      <c r="G53" s="13" t="n"/>
      <c r="H53" s="15" t="inlineStr">
        <is>
          <t>this is during editing when reviewing. Since each activities will have expenditures with accounts and some will have procurements that will need items from the price index config we have same with wfp (this part is also the same in entry page/tab)</t>
        </is>
      </c>
      <c r="I53" s="15" t="inlineStr">
        <is>
          <t>Ralph</t>
        </is>
      </c>
      <c r="J53" s="16" t="n">
        <v>46260</v>
      </c>
      <c r="K53" s="15" t="inlineStr">
        <is>
          <t>Answered</t>
        </is>
      </c>
      <c r="L53" s="13" t="inlineStr">
        <is>
          <t>Meeting photo, page 2</t>
        </is>
      </c>
      <c r="M53" s="13" t="n"/>
    </row>
    <row r="54" ht="156.6" customHeight="1">
      <c r="A54" s="11" t="inlineStr">
        <is>
          <t>B9-b</t>
        </is>
      </c>
      <c r="B54" s="12" t="inlineStr">
        <is>
          <t>B. PPDC</t>
        </is>
      </c>
      <c r="C54" s="13" t="inlineStr">
        <is>
          <t>B9 gave the ref-code FORMAT (8000-000-1-03-009-001-001-001) but not its LAYOUT: what each segment means, and where each sequence resets. The segment count also varies with depth — LDIP programs carry 6 segments and the .xlsm parser test carries 9.</t>
        </is>
      </c>
      <c r="D54" s="13" t="inlineStr">
        <is>
          <t>PPDC / Ralph</t>
        </is>
      </c>
      <c r="E54" s="14" t="inlineStr">
        <is>
          <t>High</t>
        </is>
      </c>
      <c r="F54" s="13" t="inlineStr">
        <is>
          <t>V18-76 (indexed segment columns), V18-44 (generation)</t>
        </is>
      </c>
      <c r="G54" s="13" t="inlineStr">
        <is>
          <t>Reading to confirm: segments 1-5 are the sector + office code, segments 6/7/8 are the program / project / activity sequences. Indexed columns need a defined MAXIMUM depth before they can be created — a variable-length code cannot be split into fixed columns without one. Retrofitting means migrating every AIP row.</t>
        </is>
      </c>
      <c r="H54" s="15" t="inlineStr">
        <is>
          <t>✅ ANSWERED from the primary source. DBM Budget Operations Manual for LGUs, 2023 Edition (2024 reprint) — Figure 4 "AIP Reference Code Guide" (printed p.25), Annex C (sectors), Annex D (LGU level / office type / office).
The layout is PRESCRIBED, not LGU-invented:
  seg 1  Sector       4 digits  1000 General Public Services / 3000 Social Services / 8000 Economic Services / 9000 Other Services
  seg 2  Sub-Sector   3 digits  "if any" — Annex C sub-groups, in practice mainly Social Services
  seg 3  LGU Level    1 digit   1 Province / 2 City / 3 Municipality
  seg 4  Office Type  2 digits  01 Mandatory / 02 Optional / 03 Others
  seg 5  Office       3 digits  Annex D lists 001-022 per level+type; "03 Others" is left unenumerated for the LGU to assign
  seg 6+ PPA path     3 each    Program &gt; Project &gt; Activity — ONE SEGMENT PER LEVEL
Verified against all three real codes:
• 8000-000-1-01-010-001 (our LDIP seed) = Economic / — / Province / Mandatory / 010 = Office of the Provincial Planning and Development Coordinator (PPDO itself) / Program 001
• 8000-000-1-03-009-001-001-001 (Ralph's) = … / OTHERS / office 009 — LGU-assigned, which is why it is not in Annex D / Program-Project-Activity
• 8000-000-1-01-016-004-001-003-001 (.xlsm parser test) = … / 016 = Office of the Provincial Agriculturist / a FOUR-segment PPA path
WHERE SEQUENCES RESET: the manual requires that "all activities and projects be subsumed under a specific program" (p.26), so the PPA path is a tree — program numbered within its office, project within its program, activity within its project.
⚠️ STILL TO CONFIRM (minor): does the PROGRAM sequence restart each fiscal year, or run continuously? The v1.3 LDIP work numbered programs continuously across sub-office groups.
⚠️ THIS RESHAPES V18-76 and removes the blocker this row raised. Segments 1-5 are FIXED — five indexed columns, pure office identity. Segments 6+ are a VARIABLE-LENGTH path and must NOT be columns: give each Program/Project/Activity node a sibling-unique seq and RENDER the code from the root-to-node path. There is no maximum depth, and none is needed.</t>
        </is>
      </c>
      <c r="I54" s="15" t="inlineStr">
        <is>
          <t>Ralph (source) / read from the BOM</t>
        </is>
      </c>
      <c r="J54" s="16" t="n">
        <v>46260</v>
      </c>
      <c r="K54" s="15" t="inlineStr">
        <is>
          <t>Answered</t>
        </is>
      </c>
      <c r="L54" s="13" t="inlineStr">
        <is>
          <t>Phase_Plan §12.5 / tracker B9</t>
        </is>
      </c>
      <c r="M54" s="13" t="n"/>
    </row>
    <row r="55" ht="156.6" customHeight="1">
      <c r="A55" s="11" t="inlineStr">
        <is>
          <t>B10-b</t>
        </is>
      </c>
      <c r="B55" s="12" t="inlineStr">
        <is>
          <t>B. PPDC</t>
        </is>
      </c>
      <c r="C55" s="13" t="inlineStr">
        <is>
          <t>B10 specified the comment lifecycle (inline only, resolve checkbox, soft warning on re-submit). Two things it did not say: what does "in-line" ANCHOR to — an activity row, an individual expense line, or any field? And do the department head's comments enter the same resolve flow, or only the PPDO reviewer's?</t>
        </is>
      </c>
      <c r="D55" s="13" t="inlineStr">
        <is>
          <t>PPDC</t>
        </is>
      </c>
      <c r="E55" s="14" t="inlineStr">
        <is>
          <t>High</t>
        </is>
      </c>
      <c r="F55" s="13" t="inlineStr">
        <is>
          <t>V18-53 — its size depends on the answer</t>
        </is>
      </c>
      <c r="G55" s="13" t="inlineStr">
        <is>
          <t>Anchor granularity is the whole cost of the ticket: an activity-row anchor is a foreign key; an any-field anchor is a generic annotation system.</t>
        </is>
      </c>
      <c r="H55" s="15" t="n"/>
      <c r="I55" s="15" t="n"/>
      <c r="J55" s="16" t="n"/>
      <c r="K55" s="15" t="inlineStr">
        <is>
          <t>Open</t>
        </is>
      </c>
      <c r="L55" s="13" t="inlineStr">
        <is>
          <t>Phase_Plan §12.5 / tracker B10</t>
        </is>
      </c>
      <c r="M55" s="13" t="n"/>
    </row>
    <row r="56" ht="156.6" customHeight="1">
      <c r="A56" s="11" t="inlineStr">
        <is>
          <t>B12-b</t>
        </is>
      </c>
      <c r="B56" s="12" t="inlineStr">
        <is>
          <t>B. PPDC</t>
        </is>
      </c>
      <c r="C56" s="13" t="inlineStr">
        <is>
          <t>PPDO's divisions and the AIP record shape.
[REFRAMED 2026-08-26 after reading the province's FY2027 file and the existing entities — the original either/or was the wrong question.]
THE ONE QUESTION FOR PPDC: on the PRINTED AIP, does each PPDO division appear as its own office row — the way "OFFICE OF THE GOVERNOR - HOUSING" and "OFFICE OF THE GOVERNOR - AKAP-HUB" do today — e.g. "PROVINCIAL PLANNING AND DEVELOPMENT OFFICE - PLANNING"? Or do all PPDO divisions encode into the same PPDO office rows, with the division being purely internal and never printed?</t>
        </is>
      </c>
      <c r="D56" s="13" t="inlineStr">
        <is>
          <t>PPDC / Ralph</t>
        </is>
      </c>
      <c r="E56" s="14" t="inlineStr">
        <is>
          <t>High</t>
        </is>
      </c>
      <c r="F56" s="13" t="inlineStr">
        <is>
          <t>V18-40 (Phase 2 — record shape), V18-55, V18-11</t>
        </is>
      </c>
      <c r="G56" s="13" t="inlineStr">
        <is>
          <t>✅ THE STORAGE SHAPE NO LONGER NEEDS ASKING — it is settled by existing practice and existing code. The original either/or (one record per PPDO division vs one record with division-tagged rows) posed a choice the system already made:
• In the province's FY2027 file, an office appears MULTIPLE times as separate office rows sharing one office ref code, distinguished by a NAME SUFFIX, and split across sectors. The Governor's Office appears 8 times across 3 sectors (- WARDEN, - AKAP-HUB, - HOUSING, - LOCAL SCHOOL BOARD, - TOURISM, - ABE, - PCDO). PPDO itself appears TWICE (GENERAL, and ECONOMIC as "- SPECIAL").
• AipOffice and LdipOffice ALREADY implement this. LdipOffice's own doc comment: "A sector may hold MULTIPLE groups sharing that same ref code, distinguished by Name … Group identity within a record is the (Sector, Name) pair."
• Program sequences already run CONTINUOUSLY across those groups (RAL-61), so there is no ref-code collision to design around.
So: one AIP record per office; a sub-unit is its own AipOffice row. Neither original option.
WHAT ACTUALLY REMAINS is whether a PPDO division IS one of those sub-office groups, which is what the question above asks, and it has a visible consequence PPDC can judge: whether the printed AIP shows PPDO as one block or several.
RECOMMENDATION — yes, divisions are sub-office groups, and AipOffice gains a nullable division_id FK (null for ordinary offices, set for the host office's rows):
• Reuses a mechanism that exists and matches how the province really encodes.
• Turns "PPDO encoders see only their division's work" (B12) into a COLUMN rather than a name-string convention — exactly V18-11's point about string keys becoming load-bearing.
• Per-division submit state hangs off the sub-group row naturally, which is what B12's "PPDO divisions submit to a PPDO department-head reviewer" needs.
⚠️ If the answer is NO (divisions never print), the division tag must live somewhere that never reaches the form, and B12's per-division scoping and per-division submit both need a different mechanism — more work, not less.</t>
        </is>
      </c>
      <c r="H56" s="15" t="n"/>
      <c r="I56" s="15" t="n"/>
      <c r="J56" s="16" t="n"/>
      <c r="K56" s="15" t="inlineStr">
        <is>
          <t>Open</t>
        </is>
      </c>
      <c r="L56" s="13" t="inlineStr">
        <is>
          <t>Phase_Plan §12.6 / AipOffice + LdipOffice / FY2027 file</t>
        </is>
      </c>
      <c r="M56" s="13" t="n"/>
    </row>
    <row r="57" ht="156.6" customHeight="1">
      <c r="A57" s="11" t="inlineStr">
        <is>
          <t>W13-b</t>
        </is>
      </c>
      <c r="B57" s="12" t="inlineStr">
        <is>
          <t>B. PPDC</t>
        </is>
      </c>
      <c r="C57" s="13" t="inlineStr">
        <is>
          <t>Confirming the scope W13 implies: AIP activities carry expenditures with accounts, and some carry PROCUREMENT ITEMS drawn from the Price Index config, the same as WFP — in both the entry tab and the review tab. Is that the full extent of it, or does AIP also need the rest of the WFP procurement structure?</t>
        </is>
      </c>
      <c r="D57" s="13" t="inlineStr">
        <is>
          <t>PPDC / Ralph</t>
        </is>
      </c>
      <c r="E57" s="14" t="inlineStr">
        <is>
          <t>High</t>
        </is>
      </c>
      <c r="F57" s="13" t="inlineStr">
        <is>
          <t>V18-80 (new) — Phase 3 entry</t>
        </is>
      </c>
      <c r="G57" s="13" t="inlineStr">
        <is>
          <t>Nothing in Phase 3 covers this today: V18-42 says only "enter expenditures", and V18-65 lists the price index purely as offline cached reference data. This is the only one of the four meeting-photo items that turned out to be scope rather than a note.</t>
        </is>
      </c>
      <c r="H57" s="15" t="n"/>
      <c r="I57" s="15" t="n"/>
      <c r="J57" s="16" t="n"/>
      <c r="K57" s="15" t="inlineStr">
        <is>
          <t>Open</t>
        </is>
      </c>
      <c r="L57" s="13" t="inlineStr">
        <is>
          <t>Phase_Plan §12.8 Q10 / tracker W13</t>
        </is>
      </c>
      <c r="M57" s="13" t="n"/>
    </row>
    <row r="58" ht="156.6" customHeight="1">
      <c r="A58" s="11" t="inlineStr">
        <is>
          <t>B14</t>
        </is>
      </c>
      <c r="B58" s="12" t="inlineStr">
        <is>
          <t>B. PPDC</t>
        </is>
      </c>
      <c r="C58" s="13" t="inlineStr">
        <is>
          <t>After the PPDO reviewers approve the consolidated AIP, Ralph's understanding is that it is presented to the PDC (Provincial Development Council) and then to the Sangguniang Panlalawigan (SP) — the elected board members and the Vice Governor — who review it and pass a RESOLUTION approving it. Is that stage represented in this system at all: a state beyond Consolidated, a record of the resolution, a document generated for the SP? And who marks it approved?</t>
        </is>
      </c>
      <c r="D58" s="13" t="inlineStr">
        <is>
          <t>PPDC / Ralph</t>
        </is>
      </c>
      <c r="E58" s="14" t="inlineStr">
        <is>
          <t>High</t>
        </is>
      </c>
      <c r="F58" s="13" t="inlineStr">
        <is>
          <t>V18-73 (amendment readiness), the Phase 4 state machine, Phase 5 outputs</t>
        </is>
      </c>
      <c r="G58" s="13" t="inlineStr">
        <is>
          <t>Recorded as Ralph's understanding, not as a confirmed requirement — he hedged it ("I think") several times, so confirm before building on it. It matters because the plan currently treats PPDO consolidation as the end of the ladder, and if the SP resolution is the real terminal authority then "approved" means something this system does not yet model. The cheapest correct version is probably a state plus a resolution reference, with the SP itself staying offline.</t>
        </is>
      </c>
      <c r="H58" s="15" t="inlineStr">
        <is>
          <t>✅ CONFIRMED by the BOM (printed pp.23-24) — this is statutory, not local practice. AND it adds a stage Ralph did not mention:
• Preparation and/or APPROVAL of the AIP by the LOCAL DEVELOPMENT COUNCIL (LDC) — SLPBC 2016 puts AIP preparation within the month of MAY.
• Submission of the LDC-approved AIP to the Sanggunian — reasonable time prior to JUNE 7.
• Approval of the AIP by the Sanggunian — on or before JUNE 7 (DILG-NEDA-DBM-DOF JMC No. 1, s. 2016).
So the chain downstream of PPDO is PPDO &gt; LDC &gt; SANGGUNIAN — TWO external bodies, not one.
⚠️ STILL OPEN, and this is the actual question: is either stage represented in this system (a state beyond Consolidated, a resolution reference, a document generated for the LDC/SP), or do both stay entirely offline with someone marking the result? Cheapest correct version is probably a state plus a resolution reference, with both bodies staying offline.
ℹ️ No conflict with B7 ("no deadline in the system"): B7 is about offices submitting to PPDO, which is internal. June 7 is statutory and applies to the Sanggunian step.
[2026-08-26, Ralph] CONFIRMED, and the LDC is named: "For our case the LDC is the PDC (Provincial Development Council). The AIP generated by our portal/application will be presented there, then in the Sanggunian."
✅ That settles the GENERATION half — both bodies are OFFLINE as far as this system is concerned, and what they consume is a document we produce (V18-60).
⚠️ STILL OPEN, and now this is the whole of B14: does the system RECORD THE OUTCOME — a state beyond Consolidated, a resolution reference, a return-for-revision path from PDC or SP — or does someone simply report back and no state changes? (B15 is the same question for supplementals.)
⚠️ Consequence for V18-60: the official AIP form is presented to the PDC and then to elected officials under a June 7 statutory deadline — not an internal report. It is also where the +30% uplift first meets readers who did not encode it, including the ceiling-exceedance DECISION G deliberately permits, so the form or its covering note must say so.</t>
        </is>
      </c>
      <c r="I58" s="15" t="inlineStr">
        <is>
          <t>BOM (partial) — modelling question still open</t>
        </is>
      </c>
      <c r="J58" s="16" t="n">
        <v>46260</v>
      </c>
      <c r="K58" s="15" t="inlineStr">
        <is>
          <t>Open</t>
        </is>
      </c>
      <c r="L58" s="13" t="inlineStr">
        <is>
          <t>Phase_Plan §12.6 / BOM pp.23-24</t>
        </is>
      </c>
      <c r="M58" s="13" t="n"/>
    </row>
    <row r="59" ht="156.6" customHeight="1">
      <c r="A59" s="11" t="inlineStr">
        <is>
          <t>B15</t>
        </is>
      </c>
      <c r="B59" s="12" t="inlineStr">
        <is>
          <t>B. PPDC</t>
        </is>
      </c>
      <c r="C59" s="13" t="inlineStr">
        <is>
          <t>Supplemental / amendment changes to an approved AIP: Ralph's understanding is that these go to the SP for approval FIRST, before taking effect. Does that mean an amendment is a second full trip through review and resolution, or something lighter?</t>
        </is>
      </c>
      <c r="D59" s="13" t="inlineStr">
        <is>
          <t>PPDC / Ralph</t>
        </is>
      </c>
      <c r="E59" s="14" t="inlineStr">
        <is>
          <t>High</t>
        </is>
      </c>
      <c r="F59" s="13" t="inlineStr">
        <is>
          <t>V18-73 / RAL-78 — amendment readiness</t>
        </is>
      </c>
      <c r="G59" s="13" t="inlineStr">
        <is>
          <t>This makes V18-73 a workflow question before it is a schema one. Its note still reads "don't make LFC approval terminal", which is now doubly stale — the LFC is out of the system, and the terminal authority appears to be the SP resolution instead.</t>
        </is>
      </c>
      <c r="H59" s="15" t="n"/>
      <c r="I59" s="15" t="n"/>
      <c r="J59" s="16" t="n"/>
      <c r="K59" s="15" t="inlineStr">
        <is>
          <t>Open</t>
        </is>
      </c>
      <c r="L59" s="13" t="inlineStr">
        <is>
          <t>Phase_Plan §12.6 / V18-73</t>
        </is>
      </c>
      <c r="M59" s="13" t="n"/>
    </row>
    <row r="60" ht="156.6" customHeight="1">
      <c r="A60" s="11" t="inlineStr">
        <is>
          <t>G7</t>
        </is>
      </c>
      <c r="B60" s="12" t="inlineStr">
        <is>
          <t>E. +30% uplift</t>
        </is>
      </c>
      <c r="C60" s="13" t="inlineStr">
        <is>
          <t>Does the +30% show in the MOOE and CO COLUMNS themselves, or only in the Total column? G6 settled that the printed Total is PS + 1.3 x (MOOE + CO), but column O on the official form is labelled "8+9+10" and every total in the province's file is a SUM of the cells beside or below it.</t>
        </is>
      </c>
      <c r="D60" s="13" t="inlineStr">
        <is>
          <t>PBO / PPDC</t>
        </is>
      </c>
      <c r="E60" s="14" t="inlineStr">
        <is>
          <t>Blocker</t>
        </is>
      </c>
      <c r="F60" s="13" t="inlineStr">
        <is>
          <t>V18-60 — the printable AIP form cannot be built without it</t>
        </is>
      </c>
      <c r="G60" s="13" t="inlineStr">
        <is>
          <t>Uplift M and N themselves. It is the only reading under which BOTH G6 and DECISION 9 hold: O = SUM(L:N) keeps working AND equals PS + 1.3 x (MOOE + CO). If M and N print base values instead, then L + M + N &lt;&gt; O on every row with MOOE or CO — the row visibly does not add up and column O contradicts its own printed label, in a document read by elected officials at the PDC and the Sanggunian.</t>
        </is>
      </c>
      <c r="H60" s="15" t="inlineStr">
        <is>
          <t>✅ M AND N UPLIFTED — the MOOE and CO columns themselves carry the +30%, not only the Total. Ralph raised this scenario with PPDC directly and this is what will be followed: "as long as the entered value (in round up) follows the ceiling."
So O = SUM(L:N) still holds AND equals PS + 1.3 x (MOOE + CO) at the same time — G6 and DECISION 9 are both satisfied, and the row visibly adds up.
✅ The qualifier corroborates G3 and A2-4 together: the ceiling is compared against the ENTERED figures ROUNDED UP — base, rounded. Two numbers exist by design: base MOOE+CO (rounded) for the ceiling check, uplifted MOOE+CO for the printed columns.
⚠️ DO NOT assume printed = 1.3 x checked. Before rounding the ratio is exactly 1.3; after rounding it is not, and by how much depends on G5 (still open). Example: ₱1,000,400 base → ceiling sees 1,001; the form shows 1,301 under uplift-then-round or 1,302 under round-then-uplift. No test or reconciliation should assert that ratio.</t>
        </is>
      </c>
      <c r="I60" s="15" t="inlineStr">
        <is>
          <t>Ralph, PPDC</t>
        </is>
      </c>
      <c r="J60" s="16" t="n">
        <v>46260</v>
      </c>
      <c r="K60" s="15" t="inlineStr">
        <is>
          <t>Answered</t>
        </is>
      </c>
      <c r="L60" s="13" t="inlineStr">
        <is>
          <t>AIP_Form_Spec.md §6.1</t>
        </is>
      </c>
      <c r="M60" s="13" t="n"/>
    </row>
  </sheetData>
  <autoFilter ref="A1:L59">
    <filterColumn colId="10" hiddenButton="0" showButton="1">
      <filters>
        <filter val="Open"/>
      </filters>
    </filterColumn>
    <sortState ref="A3:L35">
      <sortCondition ref="E3:E35"/>
    </sortState>
  </autoFilter>
  <dataValidations count="1">
    <dataValidation sqref="K2:K53" showDropDown="0" showInputMessage="0" showErrorMessage="0" allowBlank="1" type="list">
      <formula1>"Open,Answered,Deferred,N/A"</formula1>
    </dataValidation>
  </dataValidations>
  <printOptions horizontalCentered="1"/>
  <pageMargins left="0.25" right="0" top="0.25" bottom="0" header="0.3" footer="0"/>
  <pageSetup orientation="landscape" paperSize="9" scale="50" fitToHeight="0"/>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4.4"/>
  <cols>
    <col width="46" customWidth="1" min="1" max="1"/>
    <col width="72" customWidth="1" min="2" max="2"/>
    <col width="12" customWidth="1" min="3" max="4"/>
    <col width="26" customWidth="1" min="5" max="5"/>
  </cols>
  <sheetData>
    <row r="1">
      <c r="A1" s="7" t="inlineStr">
        <is>
          <t>Decision</t>
        </is>
      </c>
      <c r="B1" s="7" t="inlineStr">
        <is>
          <t>Answer</t>
        </is>
      </c>
      <c r="C1" s="7" t="inlineStr">
        <is>
          <t>Decided by</t>
        </is>
      </c>
      <c r="D1" s="7" t="inlineStr">
        <is>
          <t>Date</t>
        </is>
      </c>
      <c r="E1" s="7" t="inlineStr">
        <is>
          <t>Recorded in</t>
        </is>
      </c>
    </row>
    <row r="2" ht="26.4" customHeight="1">
      <c r="A2" s="8" t="inlineStr">
        <is>
          <t>Multiple fund sources</t>
        </is>
      </c>
      <c r="B2" s="8" t="inlineStr">
        <is>
          <t>One fund source PER EXPENSE LINE; an activity with several funds simply has several lines.</t>
        </is>
      </c>
      <c r="C2" s="8" t="inlineStr">
        <is>
          <t>Ralph</t>
        </is>
      </c>
      <c r="D2" s="8" t="inlineStr">
        <is>
          <t>2026-08-14</t>
        </is>
      </c>
      <c r="E2" s="8" t="inlineStr">
        <is>
          <t>Review §0.1</t>
        </is>
      </c>
    </row>
    <row r="3" ht="26.4" customHeight="1">
      <c r="A3" s="8" t="inlineStr">
        <is>
          <t>Rounding to thousands</t>
        </is>
      </c>
      <c r="B3" s="8" t="inlineStr">
        <is>
          <t>Always round UP on any remainder above zero — 1,234,200 → 1,235. Zero stays zero.</t>
        </is>
      </c>
      <c r="C3" s="8" t="inlineStr">
        <is>
          <t>Ralph</t>
        </is>
      </c>
      <c r="D3" s="8" t="inlineStr">
        <is>
          <t>2026-08-14</t>
        </is>
      </c>
      <c r="E3" s="8" t="inlineStr">
        <is>
          <t>Review §8.2</t>
        </is>
      </c>
    </row>
    <row r="4" ht="39.6" customHeight="1">
      <c r="A4" s="8" t="inlineStr">
        <is>
          <t>Which funds have a ceiling</t>
        </is>
      </c>
      <c r="B4" s="8" t="inlineStr">
        <is>
          <t>General Fund only; GAD, 20% DF, LDRRF and Trust Fund have none. PS is exempt as an expense class on top of that.
↩️ Reversed 2026-08-25, RESTORED 2026-08-26 — the reversal lasted one day (tracker A1-b / A6-4). This row stands as originally decided.</t>
        </is>
      </c>
      <c r="C4" s="8" t="inlineStr">
        <is>
          <t>Ralph</t>
        </is>
      </c>
      <c r="D4" s="8" t="inlineStr">
        <is>
          <t>2026-08-14 (reversed 2026-08-25, restored 2026-08-26)</t>
        </is>
      </c>
      <c r="E4" s="8" t="inlineStr">
        <is>
          <t>Phase_Plan §12.3</t>
        </is>
      </c>
    </row>
    <row r="5" ht="26.4" customHeight="1">
      <c r="A5" s="8" t="inlineStr">
        <is>
          <t>"Limit Dept Head, except GAD / 20% DF / PS / LDRRF / Trust Fund"</t>
        </is>
      </c>
      <c r="B5" s="8" t="inlineStr">
        <is>
          <t>Stands as the ceiling-exemption list. PS is exempt as an expense class; GAD, 20% DF, LDRRF and Trust Fund are exempt as fund sources.
↩️ Declared partly void 2026-08-25, RESTORED 2026-08-26 with the row above.</t>
        </is>
      </c>
      <c r="C5" s="8" t="inlineStr">
        <is>
          <t>Ralph</t>
        </is>
      </c>
      <c r="D5" s="8" t="inlineStr">
        <is>
          <t>2026-08-14 (revised 2026-08-25, restored 2026-08-26)</t>
        </is>
      </c>
      <c r="E5" s="8" t="inlineStr">
        <is>
          <t>Phase_Plan §12.3</t>
        </is>
      </c>
    </row>
    <row r="6">
      <c r="A6" s="8" t="inlineStr">
        <is>
          <t>Printable AIP form</t>
        </is>
      </c>
      <c r="B6" s="8" t="inlineStr">
        <is>
          <t>In scope, matching the official form already in use.</t>
        </is>
      </c>
      <c r="C6" s="8" t="inlineStr">
        <is>
          <t>Ralph</t>
        </is>
      </c>
      <c r="D6" s="8" t="inlineStr">
        <is>
          <t>2026-08-14</t>
        </is>
      </c>
      <c r="E6" s="8" t="inlineStr">
        <is>
          <t>Review §9.1</t>
        </is>
      </c>
    </row>
    <row r="7" ht="26.4" customHeight="1">
      <c r="A7" s="8" t="inlineStr">
        <is>
          <t>Password reset</t>
        </is>
      </c>
      <c r="B7" s="8" t="inlineStr">
        <is>
          <t>Option B — self-service via a user-set recovery answer, random temporary password, no admin involvement.</t>
        </is>
      </c>
      <c r="C7" s="8" t="inlineStr">
        <is>
          <t>Ralph</t>
        </is>
      </c>
      <c r="D7" s="8" t="inlineStr">
        <is>
          <t>2026-08-14</t>
        </is>
      </c>
      <c r="E7" s="8" t="inlineStr">
        <is>
          <t>Review §2.6</t>
        </is>
      </c>
    </row>
    <row r="8" ht="26.4" customHeight="1">
      <c r="A8" s="8" t="inlineStr">
        <is>
          <t>Redesign the AIP, or retrofit office isolation?</t>
        </is>
      </c>
      <c r="B8" s="8" t="inlineStr">
        <is>
          <t>Redesign. No office-user account exists in production, so there is no real office data on the current shape to disrupt.</t>
        </is>
      </c>
      <c r="C8" s="8" t="inlineStr">
        <is>
          <t>Ralph</t>
        </is>
      </c>
      <c r="D8" s="8" t="inlineStr">
        <is>
          <t>2026-08-17</t>
        </is>
      </c>
      <c r="E8" s="8" t="inlineStr">
        <is>
          <t>AIP_Redesign_Notes §1</t>
        </is>
      </c>
    </row>
    <row r="9" ht="39.6" customHeight="1">
      <c r="A9" s="8" t="inlineStr">
        <is>
          <t>The 2027 AIP and the .xlsm upload</t>
        </is>
      </c>
      <c r="B9" s="8" t="inlineStr">
        <is>
          <t>Clean break by fiscal year. FY≤2027 keeps today's format and the upload permanently; the new format starts FY2028. No conversion, and FY2027 is not re-imported.</t>
        </is>
      </c>
      <c r="C9" s="8" t="inlineStr">
        <is>
          <t>Ralph</t>
        </is>
      </c>
      <c r="D9" s="8" t="inlineStr">
        <is>
          <t>2026-08-17</t>
        </is>
      </c>
      <c r="E9" s="8" t="inlineStr">
        <is>
          <t>AIP_Redesign_Notes §4a / §4b</t>
        </is>
      </c>
    </row>
    <row r="10">
      <c r="A10" s="8" t="inlineStr">
        <is>
          <t>"User Profile" as a landing page</t>
        </is>
      </c>
      <c r="B10" s="8" t="inlineStr">
        <is>
          <t>Resolves to /account. The /profile stub is removed and redirects there.</t>
        </is>
      </c>
      <c r="C10" s="8" t="inlineStr">
        <is>
          <t>Ralph</t>
        </is>
      </c>
      <c r="D10" s="8" t="inlineStr">
        <is>
          <t>2026-08-20</t>
        </is>
      </c>
      <c r="E10" s="8" t="inlineStr">
        <is>
          <t>Phase_Plan §11</t>
        </is>
      </c>
    </row>
    <row r="11">
      <c r="A11" s="8" t="inlineStr">
        <is>
          <t>— Added by the 2026-08-25 PPDC meeting —</t>
        </is>
      </c>
    </row>
    <row r="12" ht="39.6" customHeight="1">
      <c r="A12" s="8" t="inlineStr">
        <is>
          <t>One pot or two (DECISION A)</t>
        </is>
      </c>
      <c r="B12" s="8" t="inlineStr">
        <is>
          <t>One pot, drawn down in sequence: the division allocation constrains the AIP, and the WFP is then limited by its AIP activity. AIP gets its OWN ledger tables - WFP’s are not generalised, and WFP itself is reworked later.</t>
        </is>
      </c>
      <c r="C12" s="8" t="inlineStr">
        <is>
          <t>Ralph, PPDC</t>
        </is>
      </c>
      <c r="D12" s="8" t="inlineStr">
        <is>
          <t>2026-08-25</t>
        </is>
      </c>
      <c r="E12" s="8" t="inlineStr">
        <is>
          <t>Phase_Plan §12.1</t>
        </is>
      </c>
    </row>
    <row r="13" ht="26.4" customHeight="1">
      <c r="A13" s="8" t="inlineStr">
        <is>
          <t>Ceiling: block or warn (DECISION C)</t>
        </is>
      </c>
      <c r="B13" s="8" t="inlineStr">
        <is>
          <t>Block at submit, not at save - an over-ceiling figure can be typed and discussed, but the office cannot submit with it.</t>
        </is>
      </c>
      <c r="C13" s="8" t="inlineStr">
        <is>
          <t>Ralph</t>
        </is>
      </c>
      <c r="D13" s="8" t="inlineStr">
        <is>
          <t>2026-08-25</t>
        </is>
      </c>
      <c r="E13" s="8" t="inlineStr">
        <is>
          <t>Phase_Plan §9 / V18-49</t>
        </is>
      </c>
    </row>
    <row r="14" ht="26.4" customHeight="1">
      <c r="A14" s="8" t="inlineStr">
        <is>
          <t>Allocations vs ceiling (DECISION D)</t>
        </is>
      </c>
      <c r="B14" s="8" t="inlineStr">
        <is>
          <t>Division allocations may total LESS than the office ceiling (they may never exceed it).
✅ Second half answered 2026-08-26 (A5-b): when PBO CUTS a ceiling after divisions have encoded against it, the encoded work STANDS and fails at submit. Non-destructive; no cascade. ⚠️ Remaining allocation goes legitimately negative — do not clamp it at zero.</t>
        </is>
      </c>
      <c r="C14" s="8" t="inlineStr">
        <is>
          <t>Ralph</t>
        </is>
      </c>
      <c r="D14" s="8" t="inlineStr">
        <is>
          <t>2026-08-25, completed 2026-08-26</t>
        </is>
      </c>
      <c r="E14" s="8" t="inlineStr">
        <is>
          <t>Phase_Plan §9</t>
        </is>
      </c>
    </row>
    <row r="15">
      <c r="A15" s="8" t="inlineStr">
        <is>
          <t>Programs outside the LDIP (DECISION 5)</t>
        </is>
      </c>
      <c r="B15" s="8" t="inlineStr">
        <is>
          <t>No. The LDIP is a closed list - offices follow the programs already in it.</t>
        </is>
      </c>
      <c r="C15" s="8" t="inlineStr">
        <is>
          <t>Ralph, PPDC</t>
        </is>
      </c>
      <c r="D15" s="8" t="inlineStr">
        <is>
          <t>2026-08-25</t>
        </is>
      </c>
      <c r="E15" s="8" t="inlineStr">
        <is>
          <t>Phase_Plan §9 / V18-41</t>
        </is>
      </c>
    </row>
    <row r="16" ht="39.6" customHeight="1">
      <c r="A16" s="8" t="inlineStr">
        <is>
          <t>Rounding and totals (DECISION 9)</t>
        </is>
      </c>
      <c r="B16" s="8" t="inlineStr">
        <is>
          <t>Round each value UP to the thousand first, then sum the rounded values - for the row Total (rounded PS + MOOE + CO), every subtotal, the ceiling comparison and the Excel cells.</t>
        </is>
      </c>
      <c r="C16" s="8" t="inlineStr">
        <is>
          <t>Ralph, PPDC</t>
        </is>
      </c>
      <c r="D16" s="8" t="inlineStr">
        <is>
          <t>2026-08-25</t>
        </is>
      </c>
      <c r="E16" s="8" t="inlineStr">
        <is>
          <t>Phase_Plan §9 / V18-59</t>
        </is>
      </c>
    </row>
    <row r="17" ht="39.6" customHeight="1">
      <c r="A17" s="8" t="inlineStr">
        <is>
          <t>Reviewer return and comments (DECISION 10)</t>
        </is>
      </c>
      <c r="B17" s="8" t="inlineStr">
        <is>
          <t>A PPDO reviewer can send a whole office's work back for re-submission.
⚠️ NARROWED 2026-08-26 (tracker B10, B11), superseding the "both levels" half of this row:
• Comments are INLINE ONLY — there is no whole-submission comment.
• Each comment carries a "Mark as resolved" checkbox, set when the work is returned; on re-submit the app counts unresolved comments, warns, and lets the user proceed or cancel. A soft gate, not a hard one.
• TWO REVIEWER KINDS: the department-head reviewer EDITS and comments; the PPDO reviewer COMMENTS ONLY.</t>
        </is>
      </c>
      <c r="C17" s="8" t="inlineStr">
        <is>
          <t>Ralph, PPDC</t>
        </is>
      </c>
      <c r="D17" s="8" t="inlineStr">
        <is>
          <t>2026-08-25, narrowed 2026-08-26</t>
        </is>
      </c>
      <c r="E17" s="8" t="inlineStr">
        <is>
          <t>Phase_Plan §12.5 / §12.6</t>
        </is>
      </c>
    </row>
    <row r="18" ht="26.4" customHeight="1">
      <c r="A18" s="8" t="inlineStr">
        <is>
          <t>Who reviews across offices</t>
        </is>
      </c>
      <c r="B18" s="8" t="inlineStr">
        <is>
          <t>The LFC no longer reviews in the system. Designated PPDO users hold a cross-office reviewer permission and review the consolidated document.</t>
        </is>
      </c>
      <c r="C18" s="8" t="inlineStr">
        <is>
          <t>Ralph, PPDC</t>
        </is>
      </c>
      <c r="D18" s="8" t="inlineStr">
        <is>
          <t>2026-08-25</t>
        </is>
      </c>
      <c r="E18" s="8" t="inlineStr">
        <is>
          <t>Phase_Plan §12.4</t>
        </is>
      </c>
    </row>
    <row r="19" ht="26.4" customHeight="1">
      <c r="A19" s="8" t="inlineStr">
        <is>
          <t>Ceilings by fund source — ↩️ WITHDRAWN</t>
        </is>
      </c>
      <c r="B19" s="8" t="inlineStr">
        <is>
          <t>↩️ WITHDRAWN 2026-08-26, one day after it was made. Ceilings are GENERAL FUND ONLY — the 2026-08-14 row above stands unchanged. Work item V18-78 is dropped.
⚠️ What survives is a code caveat, not a requirement: a missing allocation row resolves to ZERO, not to unlimited, so non-GF funds must be EXPLICITLY EXCLUDED from the check rather than left blank. Folded into V18-46.</t>
        </is>
      </c>
      <c r="C19" s="8" t="inlineStr">
        <is>
          <t>Ralph, PPDC (made) · Ralph (withdrawn)</t>
        </is>
      </c>
      <c r="D19" s="8" t="inlineStr">
        <is>
          <t>2026-08-25, withdrawn 2026-08-26</t>
        </is>
      </c>
      <c r="E19" s="8" t="inlineStr">
        <is>
          <t>Phase_Plan §12.3</t>
        </is>
      </c>
    </row>
    <row r="20" ht="39.6" customHeight="1">
      <c r="A20" s="8" t="inlineStr">
        <is>
          <t>What "consolidated" means</t>
        </is>
      </c>
      <c r="B20" s="8" t="inlineStr">
        <is>
          <t>The existing multi-office record, filled in office by office as they submit - not a newly assembled record. Visible to reviewers only, and reviewable partially before all offices submit.</t>
        </is>
      </c>
      <c r="C20" s="8" t="inlineStr">
        <is>
          <t>Ralph</t>
        </is>
      </c>
      <c r="D20" s="8" t="inlineStr">
        <is>
          <t>2026-08-25</t>
        </is>
      </c>
      <c r="E20" s="8" t="inlineStr">
        <is>
          <t>Phase_Plan §12.6</t>
        </is>
      </c>
    </row>
    <row r="21" ht="26.4" customHeight="1">
      <c r="A21" s="8" t="inlineStr">
        <is>
          <t>Submission deadline</t>
        </is>
      </c>
      <c r="B21" s="8" t="inlineStr">
        <is>
          <t>No deadline enforced in the system - it is communicated to offices separately. Build the submission history and the who-has-submitted view instead.</t>
        </is>
      </c>
      <c r="C21" s="8" t="inlineStr">
        <is>
          <t>Ralph</t>
        </is>
      </c>
      <c r="D21" s="8" t="inlineStr">
        <is>
          <t>2026-08-25</t>
        </is>
      </c>
      <c r="E21" s="8" t="inlineStr">
        <is>
          <t>Phase_Plan §12.6 / V18-57</t>
        </is>
      </c>
    </row>
    <row r="22" ht="39.6" customHeight="1">
      <c r="A22" s="8" t="inlineStr">
        <is>
          <t>The +30% uplift on MOOE and CO</t>
        </is>
      </c>
      <c r="B22" s="8" t="inlineStr">
        <is>
          <t>Each activity's MOOE and CO, across all fund sources, carry an additional 30%; PS is shown as entered.
✅ MECHANICS SETTLED 2026-08-26 (tracker G1-G6) — THE UPLIFT IS PRESENTATION-ONLY. The base is stored, the rate is a FIXED 30%, and the uplift is applied only when a report is rendered. Neither the ceiling check nor the AIP→WFP limit ever sees the uplifted figure. FY2028+ only; printed Total = PS + 1.3 x (MOOE + CO).
⚠️ Deliberate consequence: an office encoding exactly to its ceiling passes every check and prints a document 30% over that ceiling. This departs from tracker A2-4 knowingly — it must be stated on the Phase 5 form spec.</t>
        </is>
      </c>
      <c r="C22" s="8" t="inlineStr">
        <is>
          <t>Ralph, PPDC</t>
        </is>
      </c>
      <c r="D22" s="8" t="inlineStr">
        <is>
          <t>2026-08-25, mechanics 2026-08-26</t>
        </is>
      </c>
      <c r="E22" s="8" t="inlineStr">
        <is>
          <t>Phase_Plan §12.2</t>
        </is>
      </c>
    </row>
    <row r="23" ht="26.4" customHeight="1">
      <c r="A23" s="8" t="inlineStr">
        <is>
          <t>Release cadence</t>
        </is>
      </c>
      <c r="B23" s="8" t="inlineStr">
        <is>
          <t>One milestone. v1.8.0 keeps all seven phases; v1.8.1, v1.8.2 and so on absorb bugs, additions and moved requirements.</t>
        </is>
      </c>
      <c r="C23" s="8" t="inlineStr">
        <is>
          <t>Ralph</t>
        </is>
      </c>
      <c r="D23" s="8" t="inlineStr">
        <is>
          <t>2026-08-25</t>
        </is>
      </c>
      <c r="E23" s="8" t="inlineStr">
        <is>
          <t>Phase_Plan §10</t>
        </is>
      </c>
    </row>
    <row r="24" ht="26.4" customHeight="1">
      <c r="A24" s="8" t="inlineStr">
        <is>
          <t>Storage units (DECISION E)</t>
        </is>
      </c>
      <c r="B24" s="8" t="inlineStr">
        <is>
          <t>AIP totals move from thousands to full pesos for ALL fiscal years - migrated, not partitioned. LDIP stays in thousands.</t>
        </is>
      </c>
      <c r="C24" s="8" t="inlineStr">
        <is>
          <t>Ralph</t>
        </is>
      </c>
      <c r="D24" s="8" t="inlineStr">
        <is>
          <t>2026-08-25</t>
        </is>
      </c>
      <c r="E24" s="8" t="inlineStr">
        <is>
          <t>AIP_Redesign_Notes §4c</t>
        </is>
      </c>
    </row>
    <row r="25" ht="26.4" customHeight="1">
      <c r="A25" s="8" t="inlineStr">
        <is>
          <t>PPDO office identity (DECISION F)</t>
        </is>
      </c>
      <c r="B25" s="8" t="inlineStr">
        <is>
          <t>PPDO is a real office row with a host-office flag; OfficeId == null no longer means PPDO. Built and merged in Phase 1.</t>
        </is>
      </c>
      <c r="C25" s="8" t="inlineStr">
        <is>
          <t>Ralph</t>
        </is>
      </c>
      <c r="D25" s="8" t="inlineStr">
        <is>
          <t>2026-08-25</t>
        </is>
      </c>
      <c r="E25" s="8" t="inlineStr">
        <is>
          <t>Phase_Plan §3.2</t>
        </is>
      </c>
    </row>
    <row r="26">
      <c r="A26" s="8" t="inlineStr">
        <is>
          <t>— Added by the 2026-08-26 follow-up answers —</t>
        </is>
      </c>
      <c r="B26" s="8" t="n"/>
      <c r="C26" s="8" t="n"/>
      <c r="D26" s="8" t="n"/>
      <c r="E26" s="8" t="n"/>
    </row>
    <row r="27" ht="52.8" customHeight="1">
      <c r="A27" s="8" t="inlineStr">
        <is>
          <t>Reviewer powers split in two</t>
        </is>
      </c>
      <c r="B27" s="8" t="inlineStr">
        <is>
          <t>The department-head reviewer MAY EDIT values during review ("to update any minor details they found"); the PPDO reviewer MAY NOT ("just comment"). RAL-256 / V18-04's blanket reviewer write-denial must key on which reviewer role the caller holds. This is the only 2026-08-26 answer that changes a Phase 1 ticket.</t>
        </is>
      </c>
      <c r="C27" s="8" t="inlineStr">
        <is>
          <t>Ralph</t>
        </is>
      </c>
      <c r="D27" s="8" t="inlineStr">
        <is>
          <t>2026-08-26</t>
        </is>
      </c>
      <c r="E27" s="8" t="inlineStr">
        <is>
          <t>Phase_Plan §12.5 / §12.7</t>
        </is>
      </c>
    </row>
    <row r="28" ht="52.8" customHeight="1">
      <c r="A28" s="8" t="inlineStr">
        <is>
          <t>One reviewer per office — how it is enforced</t>
        </is>
      </c>
      <c r="B28" s="8" t="inlineStr">
        <is>
          <t>By CONVENTION, with an application-layer error if an admin assigns a second reviewer to the same office. Deliberately NOT a database constraint, so supporting several reviewers later is a removal rather than a migration. No "reviewer on leave" override to design.</t>
        </is>
      </c>
      <c r="C28" s="8" t="inlineStr">
        <is>
          <t>Ralph</t>
        </is>
      </c>
      <c r="D28" s="8" t="inlineStr">
        <is>
          <t>2026-08-26</t>
        </is>
      </c>
      <c r="E28" s="8" t="inlineStr">
        <is>
          <t>V18-79 / tracker B13</t>
        </is>
      </c>
    </row>
    <row r="29" ht="52.8" customHeight="1">
      <c r="A29" s="8" t="inlineStr">
        <is>
          <t>PPDO's own internal submit path</t>
        </is>
      </c>
      <c r="B29" s="8" t="inlineStr">
        <is>
          <t>PPDO's divisions submit to a PPDO department-head reviewer first, mirroring any other office, and that person is distinct from the PPDO consolidated reviewer. PPDO encoders see only their own division's work. (The record SHAPE underneath is still open — tracker B12-b.)</t>
        </is>
      </c>
      <c r="C29" s="8" t="inlineStr">
        <is>
          <t>Ralph</t>
        </is>
      </c>
      <c r="D29" s="8" t="inlineStr">
        <is>
          <t>2026-08-26</t>
        </is>
      </c>
      <c r="E29" s="8" t="inlineStr">
        <is>
          <t>Phase_Plan §12.6 / tracker B12</t>
        </is>
      </c>
    </row>
    <row r="30" ht="39.6" customHeight="1">
      <c r="A30" s="8" t="inlineStr">
        <is>
          <t>AIP ref-code format</t>
        </is>
      </c>
      <c r="B30" s="8" t="inlineStr">
        <is>
          <t>The province uses the format the system already knows: 8000-000-1-03-009-001-001-001. The sketch on the meeting page was "a sample based in memory" and is to be ignored. (Segment MEANINGS and reset points are still open — tracker B9-b.)</t>
        </is>
      </c>
      <c r="C30" s="8" t="inlineStr">
        <is>
          <t>Ralph</t>
        </is>
      </c>
      <c r="D30" s="8" t="inlineStr">
        <is>
          <t>2026-08-26</t>
        </is>
      </c>
      <c r="E30" s="8" t="inlineStr">
        <is>
          <t>Phase_Plan §12.5 / tracker B9</t>
        </is>
      </c>
    </row>
    <row r="31" ht="39.6" customHeight="1">
      <c r="A31" s="8" t="inlineStr">
        <is>
          <t>Price Index feeds AIP costing</t>
        </is>
      </c>
      <c r="B31" s="8" t="inlineStr">
        <is>
          <t>AIP activities carry expenditures with accounts, and some carry procurement items drawn from the Price Index config, the same as WFP — in both the entry tab and the review tab. New work item V18-80; nothing in Phase 3 covered this before.</t>
        </is>
      </c>
      <c r="C31" s="8" t="inlineStr">
        <is>
          <t>Ralph</t>
        </is>
      </c>
      <c r="D31" s="8" t="inlineStr">
        <is>
          <t>2026-08-26</t>
        </is>
      </c>
      <c r="E31" s="8" t="inlineStr">
        <is>
          <t>Phase_Plan §12.7 / tracker W13</t>
        </is>
      </c>
    </row>
    <row r="32">
      <c r="A32" s="8" t="inlineStr">
        <is>
          <t>"PBO Connect" and "Recall AIP"</t>
        </is>
      </c>
      <c r="B32" s="8" t="inlineStr">
        <is>
          <t>A later stage, with requirements outside PPDO for now. NOT v1.8.0 scope.</t>
        </is>
      </c>
      <c r="C32" s="8" t="inlineStr">
        <is>
          <t>Ralph</t>
        </is>
      </c>
      <c r="D32" s="8" t="inlineStr">
        <is>
          <t>2026-08-26</t>
        </is>
      </c>
      <c r="E32" s="8" t="inlineStr">
        <is>
          <t>Tracker W10</t>
        </is>
      </c>
    </row>
    <row r="33" ht="79.2" customHeight="1">
      <c r="A33" s="8" t="inlineStr">
        <is>
          <t>The AIP/WFP double-count (DECISION A, second half)</t>
        </is>
      </c>
      <c r="B33" s="8" t="inlineStr">
        <is>
          <t>The WFP allocation check STAYS LIVE for FY2028+ — it is not retired, because the allocation may differ in AMOUNT and in FUND MIX by the time the WFP is written. A WFP expenditure is bound by THE LESSER of its AIP activity amount and the fund's currently remaining allocation. The AIP row is a reservation that the WFP relieves PER ACTIVITY as it commits, so the two ledgers net rather than add. Overturns the plan's own recommendation to retire the check.</t>
        </is>
      </c>
      <c r="C33" s="8" t="inlineStr">
        <is>
          <t>Ralph</t>
        </is>
      </c>
      <c r="D33" s="8" t="inlineStr">
        <is>
          <t>2026-08-26</t>
        </is>
      </c>
      <c r="E33" s="8" t="inlineStr">
        <is>
          <t>Phase_Plan §12.1 / V18-45, V18-46</t>
        </is>
      </c>
    </row>
    <row r="34" ht="105.6" customHeight="1">
      <c r="A34" s="8" t="inlineStr">
        <is>
          <t>FY2028 WFP — what gets built (amends the row above)</t>
        </is>
      </c>
      <c r="B34" s="8" t="inlineStr">
        <is>
          <t>WfpCeilingService is left UNTOUCHED (zero diff) — not retired, not made conditional. Retiring the allocation check for FY2028+ would ADD four fiscal-year conditionals rather than delete code, and it is inert anyway if no FY2028 WFP is created here. What IS deferred is the new work: V18-45 becomes an AIP-ONLY reservation ledger with NO relief/netting mechanism, and V18-81 blocks FY2028+ WFP creation in this system as "not supported yet" — making the double-count impossible rather than silently wrong. Reason: the FY2028 WFP may be built in GSO's system instead. Tracker C2 re-rated Blocker.</t>
        </is>
      </c>
      <c r="C34" s="8" t="inlineStr">
        <is>
          <t>Ralph</t>
        </is>
      </c>
      <c r="D34" s="8" t="inlineStr">
        <is>
          <t>2026-08-26</t>
        </is>
      </c>
      <c r="E34" s="8" t="inlineStr">
        <is>
          <t>Phase_Plan §12.1 / V18-45, V18-81</t>
        </is>
      </c>
    </row>
    <row r="35">
      <c r="A35" s="6" t="inlineStr">
        <is>
          <t>Recorded here so nobody re-opens them by accident. If one of these is reversed, it needs changing in the source documents too — not only here.</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2026-08-25T00:32:41Z</dcterms:created>
  <dcterms:modified xsi:type="dcterms:W3CDTF">2026-08-26T02:48:38Z</dcterms:modified>
  <cp:lastModifiedBy>Ralph Armand Alcaide</cp:lastModifiedBy>
  <cp:lastPrinted>2026-08-25T06:42:45Z</cp:lastPrinted>
</cp:coreProperties>
</file>